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Delivery Performance" sheetId="14" r:id="rId1"/>
  </sheets>
  <calcPr calcId="145621"/>
</workbook>
</file>

<file path=xl/calcChain.xml><?xml version="1.0" encoding="utf-8"?>
<calcChain xmlns="http://schemas.openxmlformats.org/spreadsheetml/2006/main">
  <c r="P18" i="14" l="1"/>
  <c r="P29" i="14"/>
  <c r="R28" i="14"/>
  <c r="R17" i="14"/>
  <c r="R8" i="14"/>
  <c r="N28" i="14"/>
  <c r="M28" i="14"/>
  <c r="L28" i="14"/>
  <c r="K28" i="14"/>
  <c r="P27" i="14"/>
  <c r="S27" i="14" s="1"/>
  <c r="O27" i="14"/>
  <c r="O26" i="14"/>
  <c r="P26" i="14" s="1"/>
  <c r="S26" i="14" s="1"/>
  <c r="O25" i="14"/>
  <c r="P25" i="14" s="1"/>
  <c r="S25" i="14" s="1"/>
  <c r="O24" i="14"/>
  <c r="P24" i="14" s="1"/>
  <c r="S24" i="14" s="1"/>
  <c r="P17" i="14"/>
  <c r="O17" i="14"/>
  <c r="O16" i="14"/>
  <c r="P16" i="14" s="1"/>
  <c r="S16" i="14" s="1"/>
  <c r="O15" i="14"/>
  <c r="P15" i="14" s="1"/>
  <c r="S15" i="14" s="1"/>
  <c r="O14" i="14"/>
  <c r="P14" i="14" s="1"/>
  <c r="S14" i="14" s="1"/>
  <c r="P13" i="14"/>
  <c r="S13" i="14" s="1"/>
  <c r="O13" i="14"/>
  <c r="P8" i="14"/>
  <c r="O8" i="14"/>
  <c r="G8" i="14"/>
  <c r="H8" i="14" s="1"/>
  <c r="I8" i="14" s="1"/>
  <c r="O7" i="14"/>
  <c r="P7" i="14" s="1"/>
  <c r="S7" i="14" s="1"/>
  <c r="G7" i="14"/>
  <c r="H7" i="14" s="1"/>
  <c r="I7" i="14" s="1"/>
  <c r="P6" i="14"/>
  <c r="S6" i="14" s="1"/>
  <c r="O6" i="14"/>
  <c r="G6" i="14"/>
  <c r="H6" i="14" s="1"/>
  <c r="I6" i="14" s="1"/>
  <c r="O5" i="14"/>
  <c r="P5" i="14" s="1"/>
  <c r="S5" i="14" s="1"/>
  <c r="G5" i="14"/>
  <c r="H5" i="14" s="1"/>
  <c r="I5" i="14" s="1"/>
  <c r="P4" i="14"/>
  <c r="S4" i="14" s="1"/>
  <c r="O4" i="14"/>
  <c r="G4" i="14"/>
  <c r="H4" i="14" s="1"/>
  <c r="I4" i="14" s="1"/>
  <c r="O28" i="14" l="1"/>
  <c r="P28" i="14" s="1"/>
</calcChain>
</file>

<file path=xl/sharedStrings.xml><?xml version="1.0" encoding="utf-8"?>
<sst xmlns="http://schemas.openxmlformats.org/spreadsheetml/2006/main" count="55" uniqueCount="20">
  <si>
    <t>E07</t>
  </si>
  <si>
    <t>E14</t>
  </si>
  <si>
    <t>E13</t>
  </si>
  <si>
    <t>E06</t>
  </si>
  <si>
    <t>Purchasing Group</t>
  </si>
  <si>
    <t>Grand Total</t>
  </si>
  <si>
    <t>Year 2015-16</t>
  </si>
  <si>
    <t>Actual - Apr-July-2016</t>
  </si>
  <si>
    <t>No Delay</t>
  </si>
  <si>
    <t>Less than 5 days Delay</t>
  </si>
  <si>
    <t>Delay more than 5 days</t>
  </si>
  <si>
    <t>Total Deliveries</t>
  </si>
  <si>
    <t>% Delay</t>
  </si>
  <si>
    <t>% on time FY15-16</t>
  </si>
  <si>
    <t>% Ontime Target FY16-17</t>
  </si>
  <si>
    <t>% on time FY16-17</t>
  </si>
  <si>
    <t>Actual % Improvement</t>
  </si>
  <si>
    <t>Actual - Apr-Sep-2016</t>
  </si>
  <si>
    <t>% improvement in Delivery performance</t>
  </si>
  <si>
    <t>Actual - Apr-16 to Mar-17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</si>
</sst>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9" formatCode="0.0%"/>
  </numFmts>
  <fonts count="5" x14ac:knownFonts="1">
    <font>
      <sz val="10"/>
      <name val="Arial"/>
    </font>
    <font>
      <sz val="10"/>
      <name val="Arial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</cellStyleXfs>
  <cellXfs count="30"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0" fillId="0" borderId="1" xfId="0" applyNumberFormat="1" applyBorder="1" applyAlignment="1">
      <alignment vertical="top"/>
    </xf>
    <xf numFmtId="0" fontId="0" fillId="0" borderId="0" xfId="0" applyFill="1" applyBorder="1" applyAlignment="1">
      <alignment vertical="top"/>
    </xf>
    <xf numFmtId="0" fontId="2" fillId="0" borderId="0" xfId="0" applyFont="1" applyAlignment="1">
      <alignment vertical="top"/>
    </xf>
    <xf numFmtId="0" fontId="0" fillId="4" borderId="1" xfId="0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9" fontId="0" fillId="0" borderId="1" xfId="1" applyFont="1" applyBorder="1" applyAlignment="1">
      <alignment vertical="top"/>
    </xf>
    <xf numFmtId="9" fontId="0" fillId="0" borderId="1" xfId="0" applyNumberFormat="1" applyBorder="1" applyAlignment="1">
      <alignment vertical="top"/>
    </xf>
    <xf numFmtId="9" fontId="4" fillId="4" borderId="1" xfId="1" applyFont="1" applyFill="1" applyBorder="1" applyAlignment="1">
      <alignment vertical="top"/>
    </xf>
    <xf numFmtId="0" fontId="0" fillId="0" borderId="0" xfId="0" applyNumberFormat="1" applyFill="1" applyBorder="1" applyAlignment="1">
      <alignment vertical="top"/>
    </xf>
    <xf numFmtId="9" fontId="0" fillId="0" borderId="0" xfId="1" applyFont="1" applyFill="1" applyBorder="1" applyAlignment="1">
      <alignment vertical="top"/>
    </xf>
    <xf numFmtId="9" fontId="0" fillId="0" borderId="0" xfId="0" applyNumberForma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3" borderId="1" xfId="0" applyNumberFormat="1" applyFont="1" applyFill="1" applyBorder="1" applyAlignment="1">
      <alignment vertical="top"/>
    </xf>
    <xf numFmtId="9" fontId="0" fillId="2" borderId="1" xfId="0" applyNumberFormat="1" applyFill="1" applyBorder="1" applyAlignment="1">
      <alignment vertical="top"/>
    </xf>
    <xf numFmtId="9" fontId="0" fillId="0" borderId="0" xfId="1" applyFont="1" applyBorder="1" applyAlignment="1">
      <alignment vertical="top"/>
    </xf>
    <xf numFmtId="9" fontId="0" fillId="0" borderId="0" xfId="0" applyNumberFormat="1" applyBorder="1" applyAlignment="1">
      <alignment vertical="top"/>
    </xf>
    <xf numFmtId="9" fontId="0" fillId="0" borderId="0" xfId="1" applyFont="1" applyAlignment="1">
      <alignment vertical="top"/>
    </xf>
    <xf numFmtId="169" fontId="0" fillId="0" borderId="0" xfId="1" applyNumberFormat="1" applyFont="1" applyAlignment="1">
      <alignment vertical="top"/>
    </xf>
    <xf numFmtId="0" fontId="2" fillId="3" borderId="0" xfId="0" applyFont="1" applyFill="1" applyBorder="1" applyAlignment="1">
      <alignment horizontal="right" vertical="top"/>
    </xf>
    <xf numFmtId="0" fontId="2" fillId="3" borderId="2" xfId="0" applyNumberFormat="1" applyFont="1" applyFill="1" applyBorder="1" applyAlignment="1">
      <alignment vertical="top"/>
    </xf>
    <xf numFmtId="9" fontId="0" fillId="0" borderId="2" xfId="1" applyFont="1" applyBorder="1" applyAlignment="1">
      <alignment vertical="top"/>
    </xf>
    <xf numFmtId="9" fontId="0" fillId="2" borderId="2" xfId="0" applyNumberFormat="1" applyFill="1" applyBorder="1" applyAlignment="1">
      <alignment vertical="top"/>
    </xf>
    <xf numFmtId="0" fontId="0" fillId="4" borderId="3" xfId="0" applyFill="1" applyBorder="1" applyAlignment="1">
      <alignment vertical="top"/>
    </xf>
    <xf numFmtId="0" fontId="0" fillId="4" borderId="4" xfId="0" applyFill="1" applyBorder="1" applyAlignment="1">
      <alignment vertical="top"/>
    </xf>
    <xf numFmtId="0" fontId="0" fillId="4" borderId="5" xfId="0" applyFill="1" applyBorder="1" applyAlignment="1">
      <alignment vertical="top"/>
    </xf>
    <xf numFmtId="9" fontId="4" fillId="4" borderId="6" xfId="1" applyFont="1" applyFill="1" applyBorder="1" applyAlignment="1">
      <alignment vertical="top"/>
    </xf>
    <xf numFmtId="0" fontId="0" fillId="0" borderId="1" xfId="0" applyNumberFormat="1" applyBorder="1"/>
  </cellXfs>
  <cellStyles count="4">
    <cellStyle name="Normal" xfId="0" builtinId="0"/>
    <cellStyle name="Normal 2" xfId="3"/>
    <cellStyle name="Percent" xfId="1" builtinId="5"/>
    <cellStyle name="Percent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29"/>
  <sheetViews>
    <sheetView tabSelected="1" topLeftCell="A16" workbookViewId="0">
      <selection activeCell="P18" sqref="P18"/>
    </sheetView>
  </sheetViews>
  <sheetFormatPr defaultRowHeight="12.75" x14ac:dyDescent="0.2"/>
  <cols>
    <col min="1" max="1" width="1.42578125" customWidth="1"/>
    <col min="9" max="9" width="13.5703125" customWidth="1"/>
    <col min="10" max="10" width="3.28515625" customWidth="1"/>
    <col min="16" max="16" width="10.5703125" customWidth="1"/>
    <col min="17" max="17" width="2" customWidth="1"/>
    <col min="18" max="18" width="10.140625" customWidth="1"/>
    <col min="19" max="19" width="9.85546875" customWidth="1"/>
    <col min="20" max="20" width="7.140625" customWidth="1"/>
    <col min="21" max="21" width="7.7109375" customWidth="1"/>
    <col min="22" max="22" width="6.85546875" customWidth="1"/>
  </cols>
  <sheetData>
    <row r="2" spans="2:22" ht="15" x14ac:dyDescent="0.2">
      <c r="E2" s="5" t="s">
        <v>6</v>
      </c>
      <c r="M2" s="5" t="s">
        <v>7</v>
      </c>
    </row>
    <row r="3" spans="2:22" ht="60" x14ac:dyDescent="0.2">
      <c r="B3" s="2" t="s">
        <v>4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15</v>
      </c>
      <c r="R3" s="2" t="s">
        <v>13</v>
      </c>
      <c r="S3" s="6" t="s">
        <v>16</v>
      </c>
      <c r="T3" s="7"/>
      <c r="U3" s="7"/>
      <c r="V3" s="7"/>
    </row>
    <row r="4" spans="2:22" ht="15" x14ac:dyDescent="0.2">
      <c r="B4" s="1" t="s">
        <v>3</v>
      </c>
      <c r="C4" s="3">
        <v>615</v>
      </c>
      <c r="D4" s="3">
        <v>218</v>
      </c>
      <c r="E4" s="3">
        <v>867</v>
      </c>
      <c r="F4" s="3">
        <v>1700</v>
      </c>
      <c r="G4" s="8">
        <f>E4/F4</f>
        <v>0.51</v>
      </c>
      <c r="H4" s="9">
        <f>1-G4</f>
        <v>0.49</v>
      </c>
      <c r="I4" s="8">
        <f>H4*1.4</f>
        <v>0.68599999999999994</v>
      </c>
      <c r="K4" s="3">
        <v>13</v>
      </c>
      <c r="L4" s="3">
        <v>29</v>
      </c>
      <c r="M4" s="3">
        <v>59</v>
      </c>
      <c r="N4" s="3">
        <v>101</v>
      </c>
      <c r="O4" s="8">
        <f>M4/N4</f>
        <v>0.58415841584158412</v>
      </c>
      <c r="P4" s="9">
        <f>1-O4</f>
        <v>0.41584158415841588</v>
      </c>
      <c r="R4" s="9">
        <v>0.49</v>
      </c>
      <c r="S4" s="10">
        <f>P4/R4-1</f>
        <v>-0.15134370579915124</v>
      </c>
      <c r="T4" s="4"/>
      <c r="U4" s="4"/>
      <c r="V4" s="4"/>
    </row>
    <row r="5" spans="2:22" ht="15" x14ac:dyDescent="0.2">
      <c r="B5" s="1" t="s">
        <v>0</v>
      </c>
      <c r="C5" s="3">
        <v>548</v>
      </c>
      <c r="D5" s="3">
        <v>574</v>
      </c>
      <c r="E5" s="3">
        <v>2188</v>
      </c>
      <c r="F5" s="3">
        <v>3310</v>
      </c>
      <c r="G5" s="8">
        <f>E5/F5</f>
        <v>0.66102719033232626</v>
      </c>
      <c r="H5" s="9">
        <f>1-G5</f>
        <v>0.33897280966767374</v>
      </c>
      <c r="I5" s="8">
        <f>H5*1.4</f>
        <v>0.47456193353474319</v>
      </c>
      <c r="K5" s="3">
        <v>183</v>
      </c>
      <c r="L5" s="3">
        <v>143</v>
      </c>
      <c r="M5" s="3">
        <v>254</v>
      </c>
      <c r="N5" s="3">
        <v>580</v>
      </c>
      <c r="O5" s="8">
        <f>M5/N5</f>
        <v>0.43793103448275861</v>
      </c>
      <c r="P5" s="9">
        <f>1-O5</f>
        <v>0.56206896551724139</v>
      </c>
      <c r="R5" s="9">
        <v>0.33897280966767374</v>
      </c>
      <c r="S5" s="10">
        <f>P5/R5-1</f>
        <v>0.65815354354908107</v>
      </c>
      <c r="T5" s="11"/>
      <c r="U5" s="12"/>
      <c r="V5" s="13"/>
    </row>
    <row r="6" spans="2:22" ht="15" x14ac:dyDescent="0.2">
      <c r="B6" s="1" t="s">
        <v>2</v>
      </c>
      <c r="C6" s="3">
        <v>1222</v>
      </c>
      <c r="D6" s="3">
        <v>640</v>
      </c>
      <c r="E6" s="3">
        <v>1976</v>
      </c>
      <c r="F6" s="3">
        <v>3838</v>
      </c>
      <c r="G6" s="8">
        <f>E6/F6</f>
        <v>0.51485148514851486</v>
      </c>
      <c r="H6" s="9">
        <f>1-G6</f>
        <v>0.48514851485148514</v>
      </c>
      <c r="I6" s="8">
        <f>H6*1.4</f>
        <v>0.67920792079207915</v>
      </c>
      <c r="K6" s="3">
        <v>404</v>
      </c>
      <c r="L6" s="3">
        <v>149</v>
      </c>
      <c r="M6" s="3">
        <v>370</v>
      </c>
      <c r="N6" s="3">
        <v>923</v>
      </c>
      <c r="O6" s="8">
        <f>M6/N6</f>
        <v>0.40086673889490793</v>
      </c>
      <c r="P6" s="9">
        <f>1-O6</f>
        <v>0.59913326110509213</v>
      </c>
      <c r="R6" s="9">
        <v>0.48514851485148514</v>
      </c>
      <c r="S6" s="10">
        <f>P6/R6-1</f>
        <v>0.23494815044110839</v>
      </c>
      <c r="T6" s="4"/>
      <c r="U6" s="4"/>
      <c r="V6" s="4"/>
    </row>
    <row r="7" spans="2:22" ht="15" x14ac:dyDescent="0.2">
      <c r="B7" s="1" t="s">
        <v>1</v>
      </c>
      <c r="C7" s="3">
        <v>98</v>
      </c>
      <c r="D7" s="3">
        <v>101</v>
      </c>
      <c r="E7" s="3">
        <v>411</v>
      </c>
      <c r="F7" s="3">
        <v>610</v>
      </c>
      <c r="G7" s="8">
        <f>E7/F7</f>
        <v>0.67377049180327864</v>
      </c>
      <c r="H7" s="9">
        <f>1-G7</f>
        <v>0.32622950819672136</v>
      </c>
      <c r="I7" s="8">
        <f>H7*1.4</f>
        <v>0.4567213114754099</v>
      </c>
      <c r="K7" s="3">
        <v>437</v>
      </c>
      <c r="L7" s="3">
        <v>130</v>
      </c>
      <c r="M7" s="3">
        <v>128</v>
      </c>
      <c r="N7" s="3">
        <v>695</v>
      </c>
      <c r="O7" s="8">
        <f>M7/N7</f>
        <v>0.1841726618705036</v>
      </c>
      <c r="P7" s="9">
        <f>1-O7</f>
        <v>0.81582733812949637</v>
      </c>
      <c r="R7" s="9">
        <v>0.32622950819672136</v>
      </c>
      <c r="S7" s="10">
        <f>P7/R7-1</f>
        <v>1.5007772676331292</v>
      </c>
      <c r="T7" s="11"/>
      <c r="U7" s="12"/>
      <c r="V7" s="13"/>
    </row>
    <row r="8" spans="2:22" ht="15" x14ac:dyDescent="0.2">
      <c r="B8" s="14" t="s">
        <v>5</v>
      </c>
      <c r="C8" s="15">
        <v>2483</v>
      </c>
      <c r="D8" s="15">
        <v>1533</v>
      </c>
      <c r="E8" s="15">
        <v>5442</v>
      </c>
      <c r="F8" s="15">
        <v>9458</v>
      </c>
      <c r="G8" s="8">
        <f>E8/F8</f>
        <v>0.5753859166842884</v>
      </c>
      <c r="H8" s="16">
        <f>1-G8</f>
        <v>0.4246140833157116</v>
      </c>
      <c r="I8" s="8">
        <f>H8*1.4</f>
        <v>0.59445971664199615</v>
      </c>
      <c r="K8" s="15">
        <v>1037</v>
      </c>
      <c r="L8" s="15">
        <v>451</v>
      </c>
      <c r="M8" s="15">
        <v>811</v>
      </c>
      <c r="N8" s="15">
        <v>2299</v>
      </c>
      <c r="O8" s="8">
        <f>M8/N8</f>
        <v>0.35276207046541974</v>
      </c>
      <c r="P8" s="9">
        <f>1-O8</f>
        <v>0.64723792953458026</v>
      </c>
      <c r="R8" s="9">
        <f>1-G8</f>
        <v>0.4246140833157116</v>
      </c>
    </row>
    <row r="9" spans="2:22" x14ac:dyDescent="0.2">
      <c r="G9" s="17"/>
      <c r="H9" s="18"/>
      <c r="I9" s="17"/>
      <c r="P9" s="18"/>
    </row>
    <row r="10" spans="2:22" ht="15" x14ac:dyDescent="0.2">
      <c r="G10" s="17"/>
      <c r="H10" s="18"/>
      <c r="I10" s="17"/>
      <c r="M10" s="5" t="s">
        <v>17</v>
      </c>
      <c r="P10" s="18"/>
    </row>
    <row r="11" spans="2:22" x14ac:dyDescent="0.2">
      <c r="G11" s="19"/>
      <c r="N11" s="20"/>
    </row>
    <row r="12" spans="2:22" ht="60" x14ac:dyDescent="0.2">
      <c r="G12" s="19"/>
      <c r="I12" s="2" t="s">
        <v>4</v>
      </c>
      <c r="K12" s="2" t="s">
        <v>8</v>
      </c>
      <c r="L12" s="2" t="s">
        <v>9</v>
      </c>
      <c r="M12" s="2" t="s">
        <v>10</v>
      </c>
      <c r="N12" s="2" t="s">
        <v>11</v>
      </c>
      <c r="O12" s="2" t="s">
        <v>12</v>
      </c>
      <c r="P12" s="2" t="s">
        <v>15</v>
      </c>
      <c r="R12" s="2" t="s">
        <v>13</v>
      </c>
      <c r="S12" s="6" t="s">
        <v>16</v>
      </c>
    </row>
    <row r="13" spans="2:22" ht="15" x14ac:dyDescent="0.2">
      <c r="I13" s="1" t="s">
        <v>3</v>
      </c>
      <c r="K13" s="3">
        <v>70</v>
      </c>
      <c r="L13" s="3">
        <v>48</v>
      </c>
      <c r="M13" s="3">
        <v>92</v>
      </c>
      <c r="N13" s="3">
        <v>210</v>
      </c>
      <c r="O13" s="8">
        <f>M13/N13</f>
        <v>0.43809523809523809</v>
      </c>
      <c r="P13" s="9">
        <f>1-O13</f>
        <v>0.56190476190476191</v>
      </c>
      <c r="R13" s="9">
        <v>0.49</v>
      </c>
      <c r="S13" s="10">
        <f>P13/R13-1</f>
        <v>0.14674441205053457</v>
      </c>
    </row>
    <row r="14" spans="2:22" ht="15" x14ac:dyDescent="0.2">
      <c r="I14" s="1" t="s">
        <v>0</v>
      </c>
      <c r="K14" s="3">
        <v>357</v>
      </c>
      <c r="L14" s="3">
        <v>238</v>
      </c>
      <c r="M14" s="3">
        <v>588</v>
      </c>
      <c r="N14" s="3">
        <v>1183</v>
      </c>
      <c r="O14" s="8">
        <f>M14/N14</f>
        <v>0.49704142011834318</v>
      </c>
      <c r="P14" s="9">
        <f>1-O14</f>
        <v>0.50295857988165682</v>
      </c>
      <c r="R14" s="9">
        <v>0.33897280966767374</v>
      </c>
      <c r="S14" s="10">
        <f>P14/R14-1</f>
        <v>0.48377263761879141</v>
      </c>
    </row>
    <row r="15" spans="2:22" ht="15" x14ac:dyDescent="0.2">
      <c r="I15" s="1" t="s">
        <v>2</v>
      </c>
      <c r="K15" s="3">
        <v>578</v>
      </c>
      <c r="L15" s="3">
        <v>224</v>
      </c>
      <c r="M15" s="3">
        <v>716</v>
      </c>
      <c r="N15" s="3">
        <v>1518</v>
      </c>
      <c r="O15" s="8">
        <f>M15/N15</f>
        <v>0.47167325428194995</v>
      </c>
      <c r="P15" s="9">
        <f>1-O15</f>
        <v>0.52832674571805005</v>
      </c>
      <c r="R15" s="9">
        <v>0.48514851485148514</v>
      </c>
      <c r="S15" s="10">
        <f>P15/R15-1</f>
        <v>8.9000026888225614E-2</v>
      </c>
    </row>
    <row r="16" spans="2:22" ht="15" x14ac:dyDescent="0.2">
      <c r="I16" s="1" t="s">
        <v>1</v>
      </c>
      <c r="K16" s="3">
        <v>822</v>
      </c>
      <c r="L16" s="3">
        <v>203</v>
      </c>
      <c r="M16" s="3">
        <v>300</v>
      </c>
      <c r="N16" s="3">
        <v>1325</v>
      </c>
      <c r="O16" s="8">
        <f>M16/N16</f>
        <v>0.22641509433962265</v>
      </c>
      <c r="P16" s="9">
        <f>1-O16</f>
        <v>0.77358490566037741</v>
      </c>
      <c r="R16" s="9">
        <v>0.32622950819672136</v>
      </c>
      <c r="S16" s="10">
        <f>P16/R16-1</f>
        <v>1.3712904143358298</v>
      </c>
    </row>
    <row r="17" spans="7:19" ht="15.75" thickBot="1" x14ac:dyDescent="0.25">
      <c r="I17" s="21" t="s">
        <v>5</v>
      </c>
      <c r="K17" s="22">
        <v>1827</v>
      </c>
      <c r="L17" s="22">
        <v>713</v>
      </c>
      <c r="M17" s="22">
        <v>1696</v>
      </c>
      <c r="N17" s="22">
        <v>4236</v>
      </c>
      <c r="O17" s="23">
        <f>M17/N17</f>
        <v>0.40037771482530687</v>
      </c>
      <c r="P17" s="24">
        <f>1-O17</f>
        <v>0.59962228517469307</v>
      </c>
      <c r="R17" s="9">
        <f>1-G8</f>
        <v>0.4246140833157116</v>
      </c>
    </row>
    <row r="18" spans="7:19" ht="15.75" thickBot="1" x14ac:dyDescent="0.25">
      <c r="K18" s="25" t="s">
        <v>18</v>
      </c>
      <c r="L18" s="26"/>
      <c r="M18" s="26"/>
      <c r="N18" s="26"/>
      <c r="O18" s="27"/>
      <c r="P18" s="28">
        <f>P17/R17-1</f>
        <v>0.4121582602545435</v>
      </c>
    </row>
    <row r="21" spans="7:19" ht="15" x14ac:dyDescent="0.2">
      <c r="G21" s="17"/>
      <c r="H21" s="18"/>
      <c r="I21" s="17"/>
      <c r="M21" s="5" t="s">
        <v>19</v>
      </c>
      <c r="P21" s="18"/>
    </row>
    <row r="22" spans="7:19" x14ac:dyDescent="0.2">
      <c r="G22" s="19"/>
      <c r="N22" s="20"/>
    </row>
    <row r="23" spans="7:19" ht="60" x14ac:dyDescent="0.2">
      <c r="G23" s="19"/>
      <c r="I23" s="2" t="s">
        <v>4</v>
      </c>
      <c r="K23" s="2" t="s">
        <v>8</v>
      </c>
      <c r="L23" s="2" t="s">
        <v>9</v>
      </c>
      <c r="M23" s="2" t="s">
        <v>10</v>
      </c>
      <c r="N23" s="2" t="s">
        <v>11</v>
      </c>
      <c r="O23" s="2" t="s">
        <v>12</v>
      </c>
      <c r="P23" s="2" t="s">
        <v>15</v>
      </c>
      <c r="R23" s="2" t="s">
        <v>13</v>
      </c>
      <c r="S23" s="6" t="s">
        <v>16</v>
      </c>
    </row>
    <row r="24" spans="7:19" ht="15" x14ac:dyDescent="0.2">
      <c r="I24" s="1" t="s">
        <v>3</v>
      </c>
      <c r="K24" s="29">
        <v>99</v>
      </c>
      <c r="L24" s="29">
        <v>114</v>
      </c>
      <c r="M24" s="29">
        <v>163</v>
      </c>
      <c r="N24" s="29">
        <v>376</v>
      </c>
      <c r="O24" s="8">
        <f>M24/N24</f>
        <v>0.43351063829787234</v>
      </c>
      <c r="P24" s="9">
        <f>1-O24</f>
        <v>0.5664893617021276</v>
      </c>
      <c r="R24" s="9">
        <v>0.49</v>
      </c>
      <c r="S24" s="10">
        <f>P24/R24-1</f>
        <v>0.15610073816760739</v>
      </c>
    </row>
    <row r="25" spans="7:19" ht="15" x14ac:dyDescent="0.2">
      <c r="I25" s="1" t="s">
        <v>0</v>
      </c>
      <c r="K25" s="29">
        <v>956</v>
      </c>
      <c r="L25" s="29">
        <v>503</v>
      </c>
      <c r="M25" s="29">
        <v>1142</v>
      </c>
      <c r="N25" s="29">
        <v>2601</v>
      </c>
      <c r="O25" s="8">
        <f>M25/N25</f>
        <v>0.43906189926951172</v>
      </c>
      <c r="P25" s="9">
        <f>1-O25</f>
        <v>0.56093810073048833</v>
      </c>
      <c r="R25" s="9">
        <v>0.33897280966767374</v>
      </c>
      <c r="S25" s="10">
        <f>P25/R25-1</f>
        <v>0.65481739163807151</v>
      </c>
    </row>
    <row r="26" spans="7:19" ht="15" x14ac:dyDescent="0.2">
      <c r="I26" s="1" t="s">
        <v>2</v>
      </c>
      <c r="K26" s="29">
        <v>1021</v>
      </c>
      <c r="L26" s="29">
        <v>480</v>
      </c>
      <c r="M26" s="29">
        <v>1749</v>
      </c>
      <c r="N26" s="29">
        <v>3250</v>
      </c>
      <c r="O26" s="8">
        <f>M26/N26</f>
        <v>0.5381538461538462</v>
      </c>
      <c r="P26" s="9">
        <f>1-O26</f>
        <v>0.4618461538461538</v>
      </c>
      <c r="R26" s="9">
        <v>0.48514851485148514</v>
      </c>
      <c r="S26" s="10">
        <f>P26/R26-1</f>
        <v>-4.803139717425442E-2</v>
      </c>
    </row>
    <row r="27" spans="7:19" ht="15" x14ac:dyDescent="0.2">
      <c r="I27" s="1" t="s">
        <v>1</v>
      </c>
      <c r="K27" s="29">
        <v>1727</v>
      </c>
      <c r="L27" s="29">
        <v>393</v>
      </c>
      <c r="M27" s="29">
        <v>853</v>
      </c>
      <c r="N27" s="29">
        <v>2973</v>
      </c>
      <c r="O27" s="8">
        <f>M27/N27</f>
        <v>0.28691557349478641</v>
      </c>
      <c r="P27" s="9">
        <f>1-O27</f>
        <v>0.71308442650521364</v>
      </c>
      <c r="R27" s="9">
        <v>0.32622950819672136</v>
      </c>
      <c r="S27" s="10">
        <f>P27/R27-1</f>
        <v>1.1858366842622123</v>
      </c>
    </row>
    <row r="28" spans="7:19" ht="15.75" thickBot="1" x14ac:dyDescent="0.25">
      <c r="I28" s="21" t="s">
        <v>5</v>
      </c>
      <c r="K28" s="22">
        <f>SUM(K24:K27)</f>
        <v>3803</v>
      </c>
      <c r="L28" s="22">
        <f>SUM(L24:L27)</f>
        <v>1490</v>
      </c>
      <c r="M28" s="22">
        <f>SUM(M24:M27)</f>
        <v>3907</v>
      </c>
      <c r="N28" s="22">
        <f>SUM(N24:N27)</f>
        <v>9200</v>
      </c>
      <c r="O28" s="23">
        <f>M28/N28</f>
        <v>0.42467391304347823</v>
      </c>
      <c r="P28" s="24">
        <f>1-O28</f>
        <v>0.57532608695652177</v>
      </c>
      <c r="R28" s="9">
        <f>1-G8</f>
        <v>0.4246140833157116</v>
      </c>
    </row>
    <row r="29" spans="7:19" ht="15.75" thickBot="1" x14ac:dyDescent="0.25">
      <c r="K29" s="25" t="s">
        <v>18</v>
      </c>
      <c r="L29" s="26"/>
      <c r="M29" s="26"/>
      <c r="N29" s="26"/>
      <c r="O29" s="27"/>
      <c r="P29" s="28">
        <f>P28/R28-1</f>
        <v>0.35493877749870073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Performance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Pratik Mehta</cp:lastModifiedBy>
  <cp:revision>1</cp:revision>
  <dcterms:modified xsi:type="dcterms:W3CDTF">2017-04-20T14:27:11Z</dcterms:modified>
  <cp:category/>
</cp:coreProperties>
</file>