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GST Impact Analysis-1" sheetId="15" r:id="rId1"/>
    <sheet name="GST Impact Analysis-2" sheetId="16" r:id="rId2"/>
  </sheets>
  <calcPr calcId="145621"/>
</workbook>
</file>

<file path=xl/calcChain.xml><?xml version="1.0" encoding="utf-8"?>
<calcChain xmlns="http://schemas.openxmlformats.org/spreadsheetml/2006/main">
  <c r="H20" i="16" l="1"/>
  <c r="G20" i="16"/>
  <c r="D20" i="16"/>
  <c r="C20" i="16"/>
  <c r="H8" i="16"/>
  <c r="G8" i="16"/>
  <c r="D8" i="16"/>
  <c r="C8" i="16"/>
  <c r="C9" i="16" l="1"/>
  <c r="C10" i="16" s="1"/>
  <c r="C21" i="16"/>
  <c r="D9" i="16"/>
  <c r="D10" i="16" s="1"/>
  <c r="D21" i="16"/>
  <c r="G9" i="16"/>
  <c r="G11" i="16" s="1"/>
  <c r="G12" i="16" s="1"/>
  <c r="G10" i="16"/>
  <c r="G21" i="16"/>
  <c r="G23" i="16" s="1"/>
  <c r="G22" i="16"/>
  <c r="H9" i="16"/>
  <c r="H11" i="16" s="1"/>
  <c r="H12" i="16" s="1"/>
  <c r="G13" i="16" s="1"/>
  <c r="H10" i="16"/>
  <c r="H21" i="16"/>
  <c r="H23" i="16" s="1"/>
  <c r="H22" i="16"/>
  <c r="H24" i="16" l="1"/>
  <c r="G25" i="16" s="1"/>
  <c r="G24" i="16"/>
  <c r="H13" i="16"/>
  <c r="H25" i="16"/>
  <c r="D11" i="16"/>
  <c r="D12" i="16" s="1"/>
  <c r="D22" i="16"/>
  <c r="D23" i="16" s="1"/>
  <c r="D24" i="16" s="1"/>
  <c r="C22" i="16"/>
  <c r="C23" i="16" s="1"/>
  <c r="C24" i="16" s="1"/>
  <c r="C11" i="16"/>
  <c r="C12" i="16" s="1"/>
  <c r="D25" i="16" l="1"/>
  <c r="C25" i="16"/>
  <c r="D13" i="16"/>
  <c r="C13" i="16"/>
  <c r="J42" i="15" l="1"/>
  <c r="J45" i="15" s="1"/>
  <c r="F42" i="15"/>
  <c r="L42" i="15" s="1"/>
  <c r="E42" i="15"/>
  <c r="L41" i="15"/>
  <c r="L40" i="15"/>
  <c r="E40" i="15"/>
  <c r="L39" i="15"/>
  <c r="L38" i="15"/>
  <c r="E38" i="15"/>
  <c r="G37" i="15"/>
  <c r="L37" i="15" s="1"/>
  <c r="E37" i="15"/>
  <c r="L36" i="15"/>
  <c r="E36" i="15"/>
  <c r="L35" i="15"/>
  <c r="E35" i="15"/>
  <c r="L34" i="15"/>
  <c r="E34" i="15"/>
  <c r="L33" i="15"/>
  <c r="E33" i="15"/>
  <c r="E32" i="15"/>
  <c r="I32" i="15" s="1"/>
  <c r="L32" i="15" s="1"/>
  <c r="G31" i="15"/>
  <c r="L31" i="15" s="1"/>
  <c r="E31" i="15"/>
  <c r="L30" i="15"/>
  <c r="E30" i="15"/>
  <c r="E29" i="15"/>
  <c r="I29" i="15" s="1"/>
  <c r="L29" i="15" s="1"/>
  <c r="L28" i="15"/>
  <c r="E28" i="15"/>
  <c r="G27" i="15"/>
  <c r="L27" i="15" s="1"/>
  <c r="E27" i="15"/>
  <c r="E26" i="15"/>
  <c r="H26" i="15" s="1"/>
  <c r="L26" i="15" s="1"/>
  <c r="H25" i="15"/>
  <c r="H45" i="15" s="1"/>
  <c r="E25" i="15"/>
  <c r="E24" i="15"/>
  <c r="G24" i="15" s="1"/>
  <c r="I23" i="15"/>
  <c r="L23" i="15" s="1"/>
  <c r="E23" i="15"/>
  <c r="E45" i="15" s="1"/>
  <c r="A23" i="15"/>
  <c r="E43" i="15" s="1"/>
  <c r="L19" i="15"/>
  <c r="I19" i="15"/>
  <c r="I18" i="15"/>
  <c r="H18" i="15"/>
  <c r="G18" i="15"/>
  <c r="F45" i="15" s="1"/>
  <c r="E18" i="15"/>
  <c r="L18" i="15" s="1"/>
  <c r="J17" i="15"/>
  <c r="L17" i="15" s="1"/>
  <c r="I8" i="15"/>
  <c r="G45" i="15" l="1"/>
  <c r="L24" i="15"/>
  <c r="L45" i="15" s="1"/>
  <c r="K43" i="15"/>
  <c r="K45" i="15" s="1"/>
  <c r="G43" i="15"/>
  <c r="L43" i="15" s="1"/>
  <c r="I45" i="15"/>
  <c r="E21" i="15"/>
  <c r="L25" i="15"/>
</calcChain>
</file>

<file path=xl/sharedStrings.xml><?xml version="1.0" encoding="utf-8"?>
<sst xmlns="http://schemas.openxmlformats.org/spreadsheetml/2006/main" count="134" uniqueCount="97">
  <si>
    <t>NA</t>
  </si>
  <si>
    <t>Freight</t>
  </si>
  <si>
    <t>Item Category</t>
  </si>
  <si>
    <t>Grand Total</t>
  </si>
  <si>
    <t>Total</t>
  </si>
  <si>
    <t>Coal</t>
  </si>
  <si>
    <t>HDPE Drum</t>
  </si>
  <si>
    <t>Pallet</t>
  </si>
  <si>
    <t>Remark</t>
  </si>
  <si>
    <t>Yes</t>
  </si>
  <si>
    <t>No</t>
  </si>
  <si>
    <t>Copper Catalyst</t>
  </si>
  <si>
    <t>Basic Spent Value Year 2015-16</t>
  </si>
  <si>
    <t>Purchase Type</t>
  </si>
  <si>
    <t>VVF India</t>
  </si>
  <si>
    <t>VVF Ltd</t>
  </si>
  <si>
    <t>CST buying</t>
  </si>
  <si>
    <t>Error</t>
  </si>
  <si>
    <t>Import</t>
  </si>
  <si>
    <t>Service</t>
  </si>
  <si>
    <t>VAT</t>
  </si>
  <si>
    <t>Stock Transfer</t>
  </si>
  <si>
    <t>Year 2015-16 Tax break up (In Lakhs)</t>
  </si>
  <si>
    <t>Setoff aspect</t>
  </si>
  <si>
    <t>ED</t>
  </si>
  <si>
    <t>CST</t>
  </si>
  <si>
    <t>Cess benefit</t>
  </si>
  <si>
    <t>Service Tax</t>
  </si>
  <si>
    <t>Total Tax</t>
  </si>
  <si>
    <t>With Setoff</t>
  </si>
  <si>
    <t>Without Setoff</t>
  </si>
  <si>
    <t xml:space="preserve">Seek clarity on Service tax setoff allowability on civil structure costs post GST - 1.2 crs </t>
  </si>
  <si>
    <t>(in crores)</t>
  </si>
  <si>
    <t xml:space="preserve">Savings </t>
  </si>
  <si>
    <t>Vendor options available for Inter &amp; Intra State</t>
  </si>
  <si>
    <t xml:space="preserve">Domestic / Imports </t>
  </si>
  <si>
    <t>Basic PO Value</t>
  </si>
  <si>
    <t xml:space="preserve">CST benefit </t>
  </si>
  <si>
    <t xml:space="preserve">Vendor's input CST </t>
  </si>
  <si>
    <t xml:space="preserve">Non vattable VAT </t>
  </si>
  <si>
    <t>Import Cess</t>
  </si>
  <si>
    <t xml:space="preserve">ICT + ET on NG </t>
  </si>
  <si>
    <t>Total Saving</t>
  </si>
  <si>
    <t>Import only</t>
  </si>
  <si>
    <t xml:space="preserve">Imports </t>
  </si>
  <si>
    <t>Import, No cost implication</t>
  </si>
  <si>
    <t>(1) Reliance granules CST to be vated (2) Freight to shown separate or not</t>
  </si>
  <si>
    <t>Inter state is costly due to freight</t>
  </si>
  <si>
    <t>(1) Cleancess Vatability (2) Local VAT 2% Vs 5% change</t>
  </si>
  <si>
    <t>Coal Extrapolated</t>
  </si>
  <si>
    <t>Nickel Catalyst</t>
  </si>
  <si>
    <t>(1) Vendor feed stock CST benefit</t>
  </si>
  <si>
    <t>Major feed stock is imported wood, no cost benefit</t>
  </si>
  <si>
    <t>Therminol</t>
  </si>
  <si>
    <t>Import/Intra state</t>
  </si>
  <si>
    <t>Turbomach AMC - Supply</t>
  </si>
  <si>
    <t>Import, No cost implication - Current vs Future</t>
  </si>
  <si>
    <t>Paper Bag</t>
  </si>
  <si>
    <t>X-ray Machine</t>
  </si>
  <si>
    <t>Steel</t>
  </si>
  <si>
    <t>Value high due to Coal Project, Cost equivalent to ED will get Tax benefit from Trader</t>
  </si>
  <si>
    <t xml:space="preserve">Insulation </t>
  </si>
  <si>
    <t>Currently we are not able to get ED benefit which will be available in GST</t>
  </si>
  <si>
    <t>Spray Cooler</t>
  </si>
  <si>
    <t>O&amp;M - Coal Heater</t>
  </si>
  <si>
    <t>For Service NA</t>
  </si>
  <si>
    <t>Poly Bag</t>
  </si>
  <si>
    <t>Mech Service</t>
  </si>
  <si>
    <t>Engg Spare</t>
  </si>
  <si>
    <t>For OEM NA</t>
  </si>
  <si>
    <t>SAP Licence</t>
  </si>
  <si>
    <t xml:space="preserve">Others </t>
  </si>
  <si>
    <t xml:space="preserve">Natural Gas </t>
  </si>
  <si>
    <t>Not applicable</t>
  </si>
  <si>
    <t>Note: As per above analysis almost more than 95% value is covered under GST Impact analysis.</t>
  </si>
  <si>
    <t>IGST/SGST Rate &gt;&gt;&gt;</t>
  </si>
  <si>
    <t>Pre GST</t>
  </si>
  <si>
    <t>Post GST</t>
  </si>
  <si>
    <t>RM (March-17)</t>
  </si>
  <si>
    <t>Dimple (VAT)</t>
  </si>
  <si>
    <t>Econ (CST)</t>
  </si>
  <si>
    <t>Dimple</t>
  </si>
  <si>
    <t>Econ</t>
  </si>
  <si>
    <t>52GB001</t>
  </si>
  <si>
    <t>RIL RM</t>
  </si>
  <si>
    <t>Drum</t>
  </si>
  <si>
    <t>CGST</t>
  </si>
  <si>
    <t>VAT/CST</t>
  </si>
  <si>
    <t>IGST/SGST</t>
  </si>
  <si>
    <t>Net of Tax</t>
  </si>
  <si>
    <t>TPI (VAT)</t>
  </si>
  <si>
    <t>ELSON (CST)</t>
  </si>
  <si>
    <t>TPI</t>
  </si>
  <si>
    <t>Elson</t>
  </si>
  <si>
    <t>Paper</t>
  </si>
  <si>
    <t>Special Note:</t>
  </si>
  <si>
    <t>1) As per above analysis, Post GST, Inter state and Intra state vendor will be at par accordingly purchase share will be adjusted.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</si>
</sst>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5" formatCode="_ * #,##0_ ;_ * \-#,##0_ ;_ * &quot;-&quot;??_ ;_ @_ "/>
    <numFmt numFmtId="170" formatCode="0.0%"/>
    <numFmt numFmtId="171" formatCode="_ * #,##0.000_ ;_ * \-#,##0.000_ ;_ * &quot;-&quot;??_ ;_ @_ "/>
  </numFmts>
  <fonts count="7" x14ac:knownFonts="1">
    <font>
      <sz val="10"/>
      <name val="Arial"/>
    </font>
    <font>
      <sz val="10"/>
      <name val="Arial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86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2" borderId="0" xfId="0" applyFill="1"/>
    <xf numFmtId="0" fontId="4" fillId="0" borderId="1" xfId="0" applyFont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Border="1" applyAlignment="1">
      <alignment vertical="top"/>
    </xf>
    <xf numFmtId="0" fontId="0" fillId="0" borderId="2" xfId="0" applyBorder="1"/>
    <xf numFmtId="9" fontId="0" fillId="0" borderId="1" xfId="2" applyFont="1" applyBorder="1"/>
    <xf numFmtId="2" fontId="0" fillId="0" borderId="1" xfId="0" applyNumberFormat="1" applyBorder="1"/>
    <xf numFmtId="0" fontId="5" fillId="0" borderId="0" xfId="0" applyFont="1" applyAlignment="1">
      <alignment vertical="top"/>
    </xf>
    <xf numFmtId="43" fontId="2" fillId="3" borderId="1" xfId="1" applyFont="1" applyFill="1" applyBorder="1" applyAlignment="1">
      <alignment vertical="top"/>
    </xf>
    <xf numFmtId="43" fontId="2" fillId="3" borderId="0" xfId="1" applyFont="1" applyFill="1" applyBorder="1" applyAlignment="1">
      <alignment vertical="top"/>
    </xf>
    <xf numFmtId="43" fontId="4" fillId="0" borderId="1" xfId="1" applyFon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165" fontId="0" fillId="0" borderId="0" xfId="1" applyNumberFormat="1" applyFont="1" applyBorder="1" applyAlignment="1">
      <alignment vertical="top"/>
    </xf>
    <xf numFmtId="43" fontId="0" fillId="0" borderId="0" xfId="0" applyNumberFormat="1" applyAlignment="1">
      <alignment vertical="top"/>
    </xf>
    <xf numFmtId="43" fontId="0" fillId="0" borderId="1" xfId="1" applyFont="1" applyBorder="1" applyAlignment="1">
      <alignment vertical="top"/>
    </xf>
    <xf numFmtId="165" fontId="2" fillId="3" borderId="1" xfId="1" applyNumberFormat="1" applyFont="1" applyFill="1" applyBorder="1" applyAlignment="1">
      <alignment vertical="top"/>
    </xf>
    <xf numFmtId="165" fontId="2" fillId="3" borderId="0" xfId="1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Border="1" applyAlignment="1">
      <alignment vertical="top"/>
    </xf>
    <xf numFmtId="43" fontId="5" fillId="0" borderId="0" xfId="1" applyFont="1" applyAlignment="1">
      <alignment vertical="top"/>
    </xf>
    <xf numFmtId="165" fontId="5" fillId="0" borderId="0" xfId="0" applyNumberFormat="1" applyFont="1" applyAlignment="1">
      <alignment vertical="top"/>
    </xf>
    <xf numFmtId="0" fontId="4" fillId="2" borderId="10" xfId="0" applyFont="1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170" fontId="0" fillId="2" borderId="1" xfId="3" applyNumberFormat="1" applyFont="1" applyFill="1" applyBorder="1" applyAlignment="1">
      <alignment vertical="top" wrapText="1"/>
    </xf>
    <xf numFmtId="170" fontId="4" fillId="2" borderId="1" xfId="3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170" fontId="0" fillId="0" borderId="0" xfId="3" applyNumberFormat="1" applyFont="1" applyAlignment="1">
      <alignment vertical="top"/>
    </xf>
    <xf numFmtId="170" fontId="0" fillId="0" borderId="1" xfId="3" applyNumberFormat="1" applyFont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70" fontId="4" fillId="0" borderId="1" xfId="3" applyNumberFormat="1" applyFont="1" applyBorder="1" applyAlignment="1">
      <alignment vertical="top"/>
    </xf>
    <xf numFmtId="43" fontId="0" fillId="0" borderId="0" xfId="1" applyFont="1" applyBorder="1" applyAlignment="1">
      <alignment vertical="top"/>
    </xf>
    <xf numFmtId="171" fontId="0" fillId="0" borderId="0" xfId="1" applyNumberFormat="1" applyFont="1" applyBorder="1" applyAlignment="1">
      <alignment vertical="top"/>
    </xf>
    <xf numFmtId="43" fontId="4" fillId="0" borderId="0" xfId="1" applyFont="1" applyBorder="1" applyAlignment="1">
      <alignment vertical="top"/>
    </xf>
    <xf numFmtId="43" fontId="0" fillId="0" borderId="0" xfId="1" applyFont="1" applyAlignment="1">
      <alignment vertical="top"/>
    </xf>
    <xf numFmtId="0" fontId="0" fillId="2" borderId="0" xfId="0" applyFill="1" applyAlignment="1">
      <alignment vertical="top"/>
    </xf>
    <xf numFmtId="43" fontId="0" fillId="2" borderId="0" xfId="0" applyNumberFormat="1" applyFill="1" applyAlignment="1">
      <alignment vertical="top"/>
    </xf>
    <xf numFmtId="9" fontId="0" fillId="0" borderId="0" xfId="3" applyFont="1" applyAlignment="1">
      <alignment vertical="top"/>
    </xf>
    <xf numFmtId="1" fontId="0" fillId="0" borderId="5" xfId="0" applyNumberFormat="1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9" fontId="0" fillId="0" borderId="5" xfId="2" applyFont="1" applyBorder="1"/>
    <xf numFmtId="0" fontId="0" fillId="0" borderId="2" xfId="0" applyBorder="1" applyAlignment="1">
      <alignment vertical="top"/>
    </xf>
    <xf numFmtId="0" fontId="5" fillId="5" borderId="2" xfId="0" applyFont="1" applyFill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0" fillId="0" borderId="0" xfId="0" applyFill="1" applyBorder="1"/>
    <xf numFmtId="0" fontId="0" fillId="5" borderId="2" xfId="0" applyFill="1" applyBorder="1"/>
    <xf numFmtId="0" fontId="3" fillId="5" borderId="4" xfId="0" applyFont="1" applyFill="1" applyBorder="1"/>
    <xf numFmtId="0" fontId="3" fillId="5" borderId="3" xfId="0" applyFont="1" applyFill="1" applyBorder="1"/>
    <xf numFmtId="0" fontId="4" fillId="0" borderId="6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9" xfId="0" applyBorder="1"/>
    <xf numFmtId="0" fontId="4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4" fillId="4" borderId="1" xfId="0" applyFont="1" applyFill="1" applyBorder="1" applyAlignment="1">
      <alignment vertical="top"/>
    </xf>
    <xf numFmtId="1" fontId="0" fillId="0" borderId="1" xfId="0" applyNumberFormat="1" applyBorder="1"/>
    <xf numFmtId="1" fontId="0" fillId="0" borderId="2" xfId="0" applyNumberFormat="1" applyBorder="1"/>
    <xf numFmtId="0" fontId="4" fillId="0" borderId="3" xfId="0" applyFont="1" applyBorder="1" applyAlignment="1">
      <alignment vertical="top"/>
    </xf>
    <xf numFmtId="1" fontId="0" fillId="0" borderId="1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vertical="top"/>
    </xf>
    <xf numFmtId="170" fontId="0" fillId="0" borderId="2" xfId="2" applyNumberFormat="1" applyFont="1" applyBorder="1"/>
    <xf numFmtId="10" fontId="0" fillId="0" borderId="1" xfId="2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2" fontId="3" fillId="0" borderId="1" xfId="0" applyNumberFormat="1" applyFon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70" fontId="0" fillId="0" borderId="1" xfId="2" applyNumberFormat="1" applyFont="1" applyBorder="1"/>
  </cellXfs>
  <cellStyles count="5">
    <cellStyle name="Comma" xfId="1" builtinId="3"/>
    <cellStyle name="Normal" xfId="0" builtinId="0"/>
    <cellStyle name="Normal 2" xfId="4"/>
    <cellStyle name="Percent" xfId="2" builtinId="5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8"/>
  <sheetViews>
    <sheetView tabSelected="1" workbookViewId="0">
      <selection activeCell="D13" sqref="D13"/>
    </sheetView>
  </sheetViews>
  <sheetFormatPr defaultRowHeight="12.75" x14ac:dyDescent="0.2"/>
  <cols>
    <col min="2" max="2" width="17" customWidth="1"/>
    <col min="3" max="3" width="24.85546875" customWidth="1"/>
    <col min="4" max="4" width="17" customWidth="1"/>
    <col min="5" max="6" width="16.7109375" customWidth="1"/>
    <col min="7" max="7" width="14.28515625" customWidth="1"/>
    <col min="8" max="8" width="15" bestFit="1" customWidth="1"/>
    <col min="9" max="9" width="15" customWidth="1"/>
    <col min="10" max="11" width="11" customWidth="1"/>
    <col min="12" max="12" width="12.42578125" customWidth="1"/>
    <col min="13" max="13" width="11" customWidth="1"/>
    <col min="14" max="14" width="73" bestFit="1" customWidth="1"/>
    <col min="15" max="15" width="30.7109375" customWidth="1"/>
  </cols>
  <sheetData>
    <row r="2" spans="2:13" x14ac:dyDescent="0.2">
      <c r="B2" s="17" t="s">
        <v>12</v>
      </c>
      <c r="C2" s="17"/>
      <c r="D2" s="17"/>
    </row>
    <row r="3" spans="2:13" x14ac:dyDescent="0.2">
      <c r="B3" s="17"/>
      <c r="C3" s="17"/>
      <c r="D3" s="17"/>
    </row>
    <row r="4" spans="2:13" x14ac:dyDescent="0.2">
      <c r="B4" s="18" t="s">
        <v>13</v>
      </c>
      <c r="C4" s="18"/>
      <c r="D4" s="18"/>
      <c r="E4" s="18" t="s">
        <v>14</v>
      </c>
      <c r="F4" s="18"/>
      <c r="G4" s="18" t="s">
        <v>15</v>
      </c>
      <c r="H4" s="18" t="s">
        <v>3</v>
      </c>
      <c r="I4" s="19"/>
    </row>
    <row r="5" spans="2:13" x14ac:dyDescent="0.2">
      <c r="B5" s="20" t="s">
        <v>16</v>
      </c>
      <c r="C5" s="20"/>
      <c r="D5" s="20"/>
      <c r="E5" s="21">
        <v>787.85512529999983</v>
      </c>
      <c r="F5" s="21"/>
      <c r="G5" s="21">
        <v>30.7210961</v>
      </c>
      <c r="H5" s="22">
        <v>818.57622139999989</v>
      </c>
      <c r="I5" s="23"/>
      <c r="J5" s="24"/>
      <c r="K5" s="24"/>
      <c r="L5" s="24"/>
      <c r="M5" s="24"/>
    </row>
    <row r="6" spans="2:13" x14ac:dyDescent="0.2">
      <c r="B6" s="25" t="s">
        <v>17</v>
      </c>
      <c r="C6" s="25"/>
      <c r="D6" s="25"/>
      <c r="E6" s="21">
        <v>28.683489599999998</v>
      </c>
      <c r="F6" s="21"/>
      <c r="G6" s="21">
        <v>13.517000900000001</v>
      </c>
      <c r="H6" s="21">
        <v>42.200490500000001</v>
      </c>
      <c r="I6" s="23"/>
      <c r="J6" s="24"/>
      <c r="K6" s="24"/>
      <c r="L6" s="24"/>
      <c r="M6" s="24"/>
    </row>
    <row r="7" spans="2:13" x14ac:dyDescent="0.2">
      <c r="B7" s="25" t="s">
        <v>18</v>
      </c>
      <c r="C7" s="25"/>
      <c r="D7" s="25"/>
      <c r="E7" s="21">
        <v>1792.4982036000001</v>
      </c>
      <c r="F7" s="21"/>
      <c r="G7" s="21">
        <v>235.949152</v>
      </c>
      <c r="H7" s="21">
        <v>2028.4473556</v>
      </c>
      <c r="I7" s="23"/>
      <c r="J7" s="24"/>
      <c r="K7" s="24"/>
      <c r="L7" s="24"/>
      <c r="M7" s="24"/>
    </row>
    <row r="8" spans="2:13" x14ac:dyDescent="0.2">
      <c r="B8" s="25" t="s">
        <v>19</v>
      </c>
      <c r="C8" s="25"/>
      <c r="D8" s="25"/>
      <c r="E8" s="21">
        <v>726.93483490000006</v>
      </c>
      <c r="F8" s="21"/>
      <c r="G8" s="21">
        <v>142.24577689999998</v>
      </c>
      <c r="H8" s="21">
        <v>869.18061180000007</v>
      </c>
      <c r="I8" s="23">
        <f>H8*0.15</f>
        <v>130.37709176999999</v>
      </c>
      <c r="J8" s="24"/>
      <c r="K8" s="24"/>
      <c r="L8" s="24"/>
      <c r="M8" s="24"/>
    </row>
    <row r="9" spans="2:13" x14ac:dyDescent="0.2">
      <c r="B9" s="25" t="s">
        <v>20</v>
      </c>
      <c r="C9" s="25"/>
      <c r="D9" s="25"/>
      <c r="E9" s="21">
        <v>2607.4049531000023</v>
      </c>
      <c r="F9" s="21"/>
      <c r="G9" s="21">
        <v>565.68751929999996</v>
      </c>
      <c r="H9" s="21">
        <v>3173.092472400002</v>
      </c>
      <c r="I9" s="23"/>
      <c r="J9" s="24"/>
      <c r="K9" s="24"/>
      <c r="L9" s="24"/>
      <c r="M9" s="24"/>
    </row>
    <row r="10" spans="2:13" x14ac:dyDescent="0.2">
      <c r="B10" s="25" t="s">
        <v>21</v>
      </c>
      <c r="C10" s="25"/>
      <c r="D10" s="25"/>
      <c r="E10" s="21">
        <v>42.553895700000005</v>
      </c>
      <c r="F10" s="21"/>
      <c r="G10" s="21">
        <v>0</v>
      </c>
      <c r="H10" s="21">
        <v>42.553895700000005</v>
      </c>
      <c r="I10" s="23"/>
      <c r="J10" s="24"/>
      <c r="K10" s="24"/>
      <c r="L10" s="24"/>
      <c r="M10" s="24"/>
    </row>
    <row r="11" spans="2:13" x14ac:dyDescent="0.2">
      <c r="B11" s="18" t="s">
        <v>3</v>
      </c>
      <c r="C11" s="18"/>
      <c r="D11" s="18"/>
      <c r="E11" s="26">
        <v>5985.9305022000026</v>
      </c>
      <c r="F11" s="26"/>
      <c r="G11" s="26">
        <v>988.12054519999992</v>
      </c>
      <c r="H11" s="26">
        <v>6974.0510474000021</v>
      </c>
      <c r="I11" s="27"/>
      <c r="J11" s="24"/>
      <c r="K11" s="24"/>
      <c r="L11" s="24"/>
      <c r="M11" s="24"/>
    </row>
    <row r="12" spans="2:13" x14ac:dyDescent="0.2">
      <c r="B12" s="17"/>
      <c r="C12" s="17"/>
      <c r="D12" s="17"/>
    </row>
    <row r="13" spans="2:13" x14ac:dyDescent="0.2">
      <c r="B13" s="17"/>
      <c r="C13" s="17"/>
      <c r="D13" s="17"/>
    </row>
    <row r="14" spans="2:13" x14ac:dyDescent="0.2">
      <c r="B14" s="17" t="s">
        <v>22</v>
      </c>
      <c r="C14" s="17"/>
      <c r="D14" s="17"/>
    </row>
    <row r="16" spans="2:13" ht="25.5" x14ac:dyDescent="0.2">
      <c r="B16" s="28" t="s">
        <v>23</v>
      </c>
      <c r="C16" s="28"/>
      <c r="D16" s="28"/>
      <c r="E16" s="28" t="s">
        <v>24</v>
      </c>
      <c r="F16" s="28"/>
      <c r="G16" s="28" t="s">
        <v>25</v>
      </c>
      <c r="H16" s="28" t="s">
        <v>20</v>
      </c>
      <c r="I16" s="28" t="s">
        <v>26</v>
      </c>
      <c r="J16" s="28" t="s">
        <v>27</v>
      </c>
      <c r="K16" s="28"/>
      <c r="L16" s="28" t="s">
        <v>28</v>
      </c>
      <c r="M16" s="28" t="s">
        <v>1</v>
      </c>
    </row>
    <row r="17" spans="1:17" x14ac:dyDescent="0.2">
      <c r="B17" s="2" t="s">
        <v>29</v>
      </c>
      <c r="C17" s="2"/>
      <c r="D17" s="2"/>
      <c r="E17" s="2">
        <v>191.81</v>
      </c>
      <c r="F17" s="2"/>
      <c r="G17" s="2"/>
      <c r="H17" s="2">
        <v>62.93</v>
      </c>
      <c r="I17" s="2"/>
      <c r="J17" s="29">
        <f>J19-J18</f>
        <v>111.42868207215997</v>
      </c>
      <c r="K17" s="29"/>
      <c r="L17" s="29">
        <f>SUM(E17:J17)</f>
        <v>366.16868207215998</v>
      </c>
      <c r="M17" s="29"/>
    </row>
    <row r="18" spans="1:17" x14ac:dyDescent="0.2">
      <c r="B18" s="2" t="s">
        <v>30</v>
      </c>
      <c r="C18" s="2"/>
      <c r="D18" s="2"/>
      <c r="E18" s="29">
        <f>E19-E17</f>
        <v>111.27509467734006</v>
      </c>
      <c r="F18" s="29"/>
      <c r="G18" s="29">
        <f>G19</f>
        <v>17.956922108249994</v>
      </c>
      <c r="H18" s="29">
        <f>H19-H17</f>
        <v>181.51230219783235</v>
      </c>
      <c r="I18" s="29">
        <f>H7*1.05*0.125*0.03</f>
        <v>7.9870114626750013</v>
      </c>
      <c r="J18" s="30">
        <v>8.0500000000000007</v>
      </c>
      <c r="K18" s="30"/>
      <c r="L18" s="29">
        <f>SUM(E18:J18)</f>
        <v>326.78133044609746</v>
      </c>
      <c r="M18" s="29">
        <v>20</v>
      </c>
      <c r="N18" s="4" t="s">
        <v>31</v>
      </c>
    </row>
    <row r="19" spans="1:17" x14ac:dyDescent="0.2">
      <c r="B19" s="2" t="s">
        <v>4</v>
      </c>
      <c r="C19" s="2"/>
      <c r="D19" s="2"/>
      <c r="E19" s="29">
        <v>303.08509467734007</v>
      </c>
      <c r="F19" s="29"/>
      <c r="G19" s="31">
        <v>17.956922108249994</v>
      </c>
      <c r="H19" s="29">
        <v>244.44230219783236</v>
      </c>
      <c r="I19" s="31">
        <f>H7*1.05*0.125*0.03</f>
        <v>7.9870114626750013</v>
      </c>
      <c r="J19" s="29">
        <v>119.47868207215997</v>
      </c>
      <c r="K19" s="29"/>
      <c r="L19" s="29">
        <f>SUM(E19:J19)</f>
        <v>692.95001251825738</v>
      </c>
      <c r="M19" s="29">
        <v>20</v>
      </c>
    </row>
    <row r="20" spans="1:17" x14ac:dyDescent="0.2">
      <c r="B20" s="12"/>
      <c r="C20" s="12"/>
      <c r="D20" s="12"/>
      <c r="E20" s="32"/>
      <c r="F20" s="32"/>
      <c r="G20" s="32"/>
      <c r="H20" s="32"/>
      <c r="I20" s="32"/>
      <c r="J20" s="32"/>
      <c r="K20" s="32"/>
      <c r="L20" s="32"/>
      <c r="M20" s="32"/>
    </row>
    <row r="21" spans="1:17" x14ac:dyDescent="0.2">
      <c r="E21" s="33">
        <f>SUM(E23:E44)</f>
        <v>123.5240156704</v>
      </c>
      <c r="F21" s="34" t="s">
        <v>32</v>
      </c>
      <c r="G21" s="35" t="s">
        <v>33</v>
      </c>
      <c r="H21" s="36"/>
      <c r="I21" s="36"/>
      <c r="J21" s="36"/>
      <c r="K21" s="36"/>
      <c r="L21" s="37"/>
    </row>
    <row r="22" spans="1:17" ht="25.5" x14ac:dyDescent="0.2">
      <c r="B22" s="1" t="s">
        <v>2</v>
      </c>
      <c r="C22" s="1" t="s">
        <v>34</v>
      </c>
      <c r="D22" s="38" t="s">
        <v>35</v>
      </c>
      <c r="E22" s="39" t="s">
        <v>36</v>
      </c>
      <c r="F22" s="40" t="s">
        <v>37</v>
      </c>
      <c r="G22" s="40" t="s">
        <v>38</v>
      </c>
      <c r="H22" s="41" t="s">
        <v>39</v>
      </c>
      <c r="I22" s="41" t="s">
        <v>40</v>
      </c>
      <c r="J22" s="30" t="s">
        <v>27</v>
      </c>
      <c r="K22" s="41" t="s">
        <v>41</v>
      </c>
      <c r="L22" s="38" t="s">
        <v>42</v>
      </c>
      <c r="M22" s="30" t="s">
        <v>1</v>
      </c>
      <c r="N22" s="39" t="s">
        <v>8</v>
      </c>
      <c r="Q22" s="42"/>
    </row>
    <row r="23" spans="1:17" x14ac:dyDescent="0.2">
      <c r="A23">
        <f>10^7</f>
        <v>10000000</v>
      </c>
      <c r="B23" s="2" t="s">
        <v>11</v>
      </c>
      <c r="C23" s="2" t="s">
        <v>43</v>
      </c>
      <c r="D23" s="11" t="s">
        <v>44</v>
      </c>
      <c r="E23" s="25">
        <f>105022500/(10^7)</f>
        <v>10.50225</v>
      </c>
      <c r="F23" s="21"/>
      <c r="G23" s="25"/>
      <c r="H23" s="25"/>
      <c r="I23" s="25">
        <f>E23*1.075*0.125*0.03</f>
        <v>4.2337195312499999E-2</v>
      </c>
      <c r="J23" s="25"/>
      <c r="K23" s="25"/>
      <c r="L23" s="25">
        <f>SUM(F23:K23)</f>
        <v>4.2337195312499999E-2</v>
      </c>
      <c r="M23" s="25"/>
      <c r="N23" s="43" t="s">
        <v>45</v>
      </c>
    </row>
    <row r="24" spans="1:17" x14ac:dyDescent="0.2">
      <c r="B24" s="2" t="s">
        <v>6</v>
      </c>
      <c r="C24" s="2" t="s">
        <v>9</v>
      </c>
      <c r="D24" s="2"/>
      <c r="E24" s="25">
        <f>64874145.68/(10^7)</f>
        <v>6.4874145680000002</v>
      </c>
      <c r="F24" s="21"/>
      <c r="G24" s="25">
        <f>E24*0.8*0.01</f>
        <v>5.1899316544000006E-2</v>
      </c>
      <c r="H24" s="25"/>
      <c r="I24" s="25"/>
      <c r="J24" s="25"/>
      <c r="K24" s="25"/>
      <c r="L24" s="25">
        <f t="shared" ref="L24:L43" si="0">SUM(F24:K24)</f>
        <v>5.1899316544000006E-2</v>
      </c>
      <c r="M24" s="25"/>
      <c r="N24" s="44" t="s">
        <v>46</v>
      </c>
    </row>
    <row r="25" spans="1:17" x14ac:dyDescent="0.2">
      <c r="B25" s="2" t="s">
        <v>5</v>
      </c>
      <c r="C25" s="2" t="s">
        <v>47</v>
      </c>
      <c r="D25" s="2"/>
      <c r="E25" s="25">
        <f>61301668.7/(10^7)</f>
        <v>6.13016687</v>
      </c>
      <c r="F25" s="21"/>
      <c r="G25" s="25"/>
      <c r="H25" s="25">
        <f>E25*0.03</f>
        <v>0.18390500609999999</v>
      </c>
      <c r="I25" s="25"/>
      <c r="J25" s="25"/>
      <c r="K25" s="25"/>
      <c r="L25" s="25">
        <f t="shared" si="0"/>
        <v>0.18390500609999999</v>
      </c>
      <c r="M25" s="25"/>
      <c r="N25" s="44" t="s">
        <v>48</v>
      </c>
    </row>
    <row r="26" spans="1:17" x14ac:dyDescent="0.2">
      <c r="B26" s="11" t="s">
        <v>49</v>
      </c>
      <c r="C26" s="2" t="s">
        <v>47</v>
      </c>
      <c r="D26" s="11"/>
      <c r="E26" s="25">
        <f>80000000/(10^7)</f>
        <v>8</v>
      </c>
      <c r="F26" s="21"/>
      <c r="G26" s="25"/>
      <c r="H26" s="25">
        <f>E26*0.03</f>
        <v>0.24</v>
      </c>
      <c r="I26" s="25"/>
      <c r="J26" s="25"/>
      <c r="K26" s="25"/>
      <c r="L26" s="25">
        <f t="shared" si="0"/>
        <v>0.24</v>
      </c>
      <c r="M26" s="25"/>
      <c r="N26" s="44"/>
    </row>
    <row r="27" spans="1:17" x14ac:dyDescent="0.2">
      <c r="B27" s="2" t="s">
        <v>50</v>
      </c>
      <c r="C27" s="2" t="s">
        <v>10</v>
      </c>
      <c r="D27" s="2"/>
      <c r="E27" s="25">
        <f>36783830/(10^7)</f>
        <v>3.6783830000000002</v>
      </c>
      <c r="F27" s="21"/>
      <c r="G27" s="25">
        <f>E27*0.3*0.02</f>
        <v>2.2070297999999999E-2</v>
      </c>
      <c r="H27" s="25"/>
      <c r="I27" s="25"/>
      <c r="J27" s="25"/>
      <c r="K27" s="25"/>
      <c r="L27" s="25">
        <f t="shared" si="0"/>
        <v>2.2070297999999999E-2</v>
      </c>
      <c r="M27" s="25"/>
      <c r="N27" s="2" t="s">
        <v>51</v>
      </c>
    </row>
    <row r="28" spans="1:17" x14ac:dyDescent="0.2">
      <c r="B28" s="2" t="s">
        <v>7</v>
      </c>
      <c r="C28" s="2" t="s">
        <v>47</v>
      </c>
      <c r="D28" s="2"/>
      <c r="E28" s="25">
        <f>28494023.93/(10^7)</f>
        <v>2.8494023930000001</v>
      </c>
      <c r="F28" s="21"/>
      <c r="G28" s="25"/>
      <c r="H28" s="25"/>
      <c r="I28" s="25"/>
      <c r="J28" s="25"/>
      <c r="K28" s="25"/>
      <c r="L28" s="25">
        <f t="shared" si="0"/>
        <v>0</v>
      </c>
      <c r="M28" s="25"/>
      <c r="N28" s="2" t="s">
        <v>52</v>
      </c>
    </row>
    <row r="29" spans="1:17" x14ac:dyDescent="0.2">
      <c r="B29" s="2" t="s">
        <v>53</v>
      </c>
      <c r="C29" s="2" t="s">
        <v>54</v>
      </c>
      <c r="D29" s="11" t="s">
        <v>44</v>
      </c>
      <c r="E29" s="25">
        <f>26921564.8/(10^7)</f>
        <v>2.69215648</v>
      </c>
      <c r="F29" s="21"/>
      <c r="G29" s="25"/>
      <c r="H29" s="25"/>
      <c r="I29" s="25">
        <f>E29*1.075*0.125*0.03</f>
        <v>1.085275581E-2</v>
      </c>
      <c r="J29" s="25"/>
      <c r="K29" s="25"/>
      <c r="L29" s="25">
        <f t="shared" si="0"/>
        <v>1.085275581E-2</v>
      </c>
      <c r="M29" s="25"/>
      <c r="N29" s="43" t="s">
        <v>45</v>
      </c>
    </row>
    <row r="30" spans="1:17" x14ac:dyDescent="0.2">
      <c r="B30" s="45" t="s">
        <v>55</v>
      </c>
      <c r="C30" s="45" t="s">
        <v>18</v>
      </c>
      <c r="D30" s="2"/>
      <c r="E30" s="25">
        <f>24398040.62/(10^7)</f>
        <v>2.4398040619999999</v>
      </c>
      <c r="F30" s="21"/>
      <c r="G30" s="25"/>
      <c r="H30" s="25"/>
      <c r="I30" s="25"/>
      <c r="J30" s="25"/>
      <c r="K30" s="25"/>
      <c r="L30" s="25">
        <f t="shared" si="0"/>
        <v>0</v>
      </c>
      <c r="M30" s="25"/>
      <c r="N30" s="46" t="s">
        <v>56</v>
      </c>
    </row>
    <row r="31" spans="1:17" x14ac:dyDescent="0.2">
      <c r="B31" s="2" t="s">
        <v>57</v>
      </c>
      <c r="C31" s="2" t="s">
        <v>9</v>
      </c>
      <c r="D31" s="2"/>
      <c r="E31" s="25">
        <f>23975296.83/(10^7)</f>
        <v>2.3975296829999997</v>
      </c>
      <c r="F31" s="21"/>
      <c r="G31" s="25">
        <f>E31*0.8*0.01</f>
        <v>1.9180237463999997E-2</v>
      </c>
      <c r="H31" s="25"/>
      <c r="I31" s="25"/>
      <c r="J31" s="25"/>
      <c r="K31" s="25"/>
      <c r="L31" s="25">
        <f t="shared" si="0"/>
        <v>1.9180237463999997E-2</v>
      </c>
      <c r="M31" s="25"/>
      <c r="N31" s="44" t="s">
        <v>46</v>
      </c>
    </row>
    <row r="32" spans="1:17" x14ac:dyDescent="0.2">
      <c r="B32" s="2" t="s">
        <v>58</v>
      </c>
      <c r="C32" s="2" t="s">
        <v>18</v>
      </c>
      <c r="D32" s="2"/>
      <c r="E32" s="25">
        <f>20340000/(10^7)</f>
        <v>2.0339999999999998</v>
      </c>
      <c r="F32" s="21"/>
      <c r="G32" s="25"/>
      <c r="H32" s="25"/>
      <c r="I32" s="25">
        <f>E32*1.075*0.125*0.03</f>
        <v>8.1995624999999985E-3</v>
      </c>
      <c r="J32" s="25"/>
      <c r="K32" s="25"/>
      <c r="L32" s="25">
        <f t="shared" si="0"/>
        <v>8.1995624999999985E-3</v>
      </c>
      <c r="M32" s="25"/>
      <c r="N32" s="43" t="s">
        <v>45</v>
      </c>
    </row>
    <row r="33" spans="2:14" x14ac:dyDescent="0.2">
      <c r="B33" s="2" t="s">
        <v>59</v>
      </c>
      <c r="C33" s="2" t="s">
        <v>9</v>
      </c>
      <c r="D33" s="2"/>
      <c r="E33" s="25">
        <f>(12416376.5*0.15)/(10^7)</f>
        <v>0.18624564749999997</v>
      </c>
      <c r="F33" s="21"/>
      <c r="G33" s="25"/>
      <c r="H33" s="25"/>
      <c r="I33" s="25"/>
      <c r="J33" s="25"/>
      <c r="K33" s="25"/>
      <c r="L33" s="25">
        <f t="shared" si="0"/>
        <v>0</v>
      </c>
      <c r="M33" s="25"/>
      <c r="N33" s="2" t="s">
        <v>60</v>
      </c>
    </row>
    <row r="34" spans="2:14" x14ac:dyDescent="0.2">
      <c r="B34" s="2" t="s">
        <v>61</v>
      </c>
      <c r="C34" s="2" t="s">
        <v>9</v>
      </c>
      <c r="D34" s="2"/>
      <c r="E34" s="25">
        <f>(11136387.45*0.5)/(10^7)</f>
        <v>0.55681937249999991</v>
      </c>
      <c r="F34" s="21"/>
      <c r="G34" s="25"/>
      <c r="H34" s="25"/>
      <c r="I34" s="25"/>
      <c r="J34" s="25"/>
      <c r="K34" s="25"/>
      <c r="L34" s="25">
        <f t="shared" si="0"/>
        <v>0</v>
      </c>
      <c r="M34" s="25"/>
      <c r="N34" s="2" t="s">
        <v>62</v>
      </c>
    </row>
    <row r="35" spans="2:14" x14ac:dyDescent="0.2">
      <c r="B35" s="2" t="s">
        <v>63</v>
      </c>
      <c r="C35" s="2" t="s">
        <v>0</v>
      </c>
      <c r="D35" s="2"/>
      <c r="E35" s="25">
        <f>10700000/(10^7)</f>
        <v>1.07</v>
      </c>
      <c r="F35" s="21"/>
      <c r="G35" s="25"/>
      <c r="H35" s="25"/>
      <c r="I35" s="25"/>
      <c r="J35" s="25"/>
      <c r="K35" s="25"/>
      <c r="L35" s="25">
        <f t="shared" si="0"/>
        <v>0</v>
      </c>
      <c r="M35" s="25"/>
      <c r="N35" s="2"/>
    </row>
    <row r="36" spans="2:14" x14ac:dyDescent="0.2">
      <c r="B36" s="2" t="s">
        <v>64</v>
      </c>
      <c r="C36" s="2" t="s">
        <v>65</v>
      </c>
      <c r="D36" s="2"/>
      <c r="E36" s="25">
        <f>10600000/(10^7)</f>
        <v>1.06</v>
      </c>
      <c r="F36" s="21"/>
      <c r="G36" s="25"/>
      <c r="H36" s="25"/>
      <c r="I36" s="25"/>
      <c r="J36" s="25"/>
      <c r="K36" s="25"/>
      <c r="L36" s="25">
        <f t="shared" si="0"/>
        <v>0</v>
      </c>
      <c r="M36" s="25"/>
      <c r="N36" s="2"/>
    </row>
    <row r="37" spans="2:14" x14ac:dyDescent="0.2">
      <c r="B37" s="2" t="s">
        <v>66</v>
      </c>
      <c r="C37" s="2" t="s">
        <v>10</v>
      </c>
      <c r="D37" s="2"/>
      <c r="E37" s="25">
        <f>9704900/(10^7)</f>
        <v>0.97048999999999996</v>
      </c>
      <c r="F37" s="21"/>
      <c r="G37" s="25">
        <f>E37*0.8*0.01</f>
        <v>7.7639199999999997E-3</v>
      </c>
      <c r="H37" s="25"/>
      <c r="I37" s="25"/>
      <c r="J37" s="25"/>
      <c r="K37" s="25"/>
      <c r="L37" s="25">
        <f t="shared" si="0"/>
        <v>7.7639199999999997E-3</v>
      </c>
      <c r="M37" s="25"/>
      <c r="N37" s="2"/>
    </row>
    <row r="38" spans="2:14" x14ac:dyDescent="0.2">
      <c r="B38" s="2" t="s">
        <v>67</v>
      </c>
      <c r="C38" s="2" t="s">
        <v>65</v>
      </c>
      <c r="D38" s="2"/>
      <c r="E38" s="25">
        <f>(9284325.82*0.2)/(10^7)</f>
        <v>0.1856865164</v>
      </c>
      <c r="F38" s="21"/>
      <c r="G38" s="25"/>
      <c r="H38" s="25"/>
      <c r="I38" s="25"/>
      <c r="J38" s="25"/>
      <c r="K38" s="25"/>
      <c r="L38" s="25">
        <f t="shared" si="0"/>
        <v>0</v>
      </c>
      <c r="M38" s="25"/>
      <c r="N38" s="2"/>
    </row>
    <row r="39" spans="2:14" x14ac:dyDescent="0.2">
      <c r="B39" s="2" t="s">
        <v>68</v>
      </c>
      <c r="C39" s="2" t="s">
        <v>69</v>
      </c>
      <c r="D39" s="2"/>
      <c r="E39" s="25">
        <v>2</v>
      </c>
      <c r="F39" s="21"/>
      <c r="G39" s="25"/>
      <c r="H39" s="25"/>
      <c r="I39" s="25"/>
      <c r="J39" s="25"/>
      <c r="K39" s="25"/>
      <c r="L39" s="25">
        <f t="shared" si="0"/>
        <v>0</v>
      </c>
      <c r="M39" s="25"/>
      <c r="N39" s="2"/>
    </row>
    <row r="40" spans="2:14" x14ac:dyDescent="0.2">
      <c r="B40" s="2" t="s">
        <v>70</v>
      </c>
      <c r="C40" s="2" t="s">
        <v>10</v>
      </c>
      <c r="D40" s="2"/>
      <c r="E40" s="25">
        <f>6336670.78/(10^7)</f>
        <v>0.63366707799999999</v>
      </c>
      <c r="F40" s="21"/>
      <c r="G40" s="25"/>
      <c r="H40" s="25"/>
      <c r="I40" s="25"/>
      <c r="J40" s="25"/>
      <c r="K40" s="25"/>
      <c r="L40" s="25">
        <f t="shared" si="0"/>
        <v>0</v>
      </c>
      <c r="M40" s="25"/>
      <c r="N40" s="2"/>
    </row>
    <row r="41" spans="2:14" x14ac:dyDescent="0.2">
      <c r="B41" s="12"/>
      <c r="C41" s="12"/>
      <c r="D41" s="12"/>
      <c r="E41" s="47"/>
      <c r="F41" s="23"/>
      <c r="G41" s="47"/>
      <c r="H41" s="47"/>
      <c r="I41" s="47"/>
      <c r="J41" s="47"/>
      <c r="K41" s="47"/>
      <c r="L41" s="25">
        <f t="shared" si="0"/>
        <v>0</v>
      </c>
      <c r="M41" s="47"/>
      <c r="N41" s="12"/>
    </row>
    <row r="42" spans="2:14" x14ac:dyDescent="0.2">
      <c r="B42" s="13" t="s">
        <v>71</v>
      </c>
      <c r="C42" s="13" t="s">
        <v>9</v>
      </c>
      <c r="D42" s="12"/>
      <c r="E42" s="47">
        <f>16-1.35</f>
        <v>14.65</v>
      </c>
      <c r="F42" s="48">
        <f>G19/100</f>
        <v>0.17956922108249995</v>
      </c>
      <c r="G42" s="47"/>
      <c r="H42" s="47"/>
      <c r="I42" s="47"/>
      <c r="J42" s="47">
        <f>J18/100</f>
        <v>8.0500000000000002E-2</v>
      </c>
      <c r="K42" s="47"/>
      <c r="L42" s="25">
        <f t="shared" si="0"/>
        <v>0.26006922108249997</v>
      </c>
      <c r="M42" s="47"/>
      <c r="N42" s="12"/>
    </row>
    <row r="43" spans="2:14" x14ac:dyDescent="0.2">
      <c r="B43" s="13" t="s">
        <v>72</v>
      </c>
      <c r="C43" s="13" t="s">
        <v>73</v>
      </c>
      <c r="D43" s="13"/>
      <c r="E43" s="49">
        <f>1000*10^3*550/A23</f>
        <v>55</v>
      </c>
      <c r="F43" s="23"/>
      <c r="G43" s="47">
        <f>2%*E43</f>
        <v>1.1000000000000001</v>
      </c>
      <c r="H43" s="47"/>
      <c r="I43" s="47"/>
      <c r="J43" s="47"/>
      <c r="K43" s="47">
        <f>E43*4.5%</f>
        <v>2.4750000000000001</v>
      </c>
      <c r="L43" s="25">
        <f t="shared" si="0"/>
        <v>3.5750000000000002</v>
      </c>
      <c r="M43" s="47"/>
      <c r="N43" s="12"/>
    </row>
    <row r="44" spans="2:14" x14ac:dyDescent="0.2">
      <c r="B44" s="12"/>
      <c r="C44" s="12"/>
      <c r="D44" s="12"/>
      <c r="E44" s="47"/>
      <c r="F44" s="23"/>
      <c r="G44" s="47"/>
      <c r="H44" s="47"/>
      <c r="I44" s="47"/>
      <c r="J44" s="47"/>
      <c r="K44" s="47"/>
      <c r="L44" s="47"/>
      <c r="M44" s="47"/>
      <c r="N44" s="12"/>
    </row>
    <row r="45" spans="2:14" x14ac:dyDescent="0.2">
      <c r="E45" s="50">
        <f>SUM(E23:E44)</f>
        <v>123.5240156704</v>
      </c>
      <c r="F45" s="24">
        <f>G18/100</f>
        <v>0.17956922108249995</v>
      </c>
      <c r="G45" s="50">
        <f t="shared" ref="G45:L45" si="1">SUM(G23:G44)</f>
        <v>1.2009137720080001</v>
      </c>
      <c r="H45" s="50">
        <f t="shared" si="1"/>
        <v>0.42390500609999998</v>
      </c>
      <c r="I45" s="50">
        <f t="shared" si="1"/>
        <v>6.1389513622499996E-2</v>
      </c>
      <c r="J45" s="50">
        <f t="shared" si="1"/>
        <v>8.0500000000000002E-2</v>
      </c>
      <c r="K45" s="50">
        <f t="shared" si="1"/>
        <v>2.4750000000000001</v>
      </c>
      <c r="L45" s="50">
        <f t="shared" si="1"/>
        <v>4.421277512813</v>
      </c>
      <c r="M45" s="50"/>
    </row>
    <row r="47" spans="2:14" x14ac:dyDescent="0.2">
      <c r="B47" s="51" t="s">
        <v>74</v>
      </c>
      <c r="C47" s="51"/>
      <c r="D47" s="51"/>
      <c r="E47" s="52"/>
      <c r="F47" s="51"/>
    </row>
    <row r="48" spans="2:14" x14ac:dyDescent="0.2">
      <c r="E48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30"/>
  <sheetViews>
    <sheetView workbookViewId="0">
      <selection activeCell="C32" sqref="C32"/>
    </sheetView>
  </sheetViews>
  <sheetFormatPr defaultRowHeight="12.75" x14ac:dyDescent="0.2"/>
  <cols>
    <col min="1" max="1" width="12.85546875" style="5" customWidth="1"/>
    <col min="2" max="2" width="11" style="5" customWidth="1"/>
    <col min="3" max="3" width="12" style="5" bestFit="1" customWidth="1"/>
    <col min="4" max="4" width="12.5703125" style="5" bestFit="1" customWidth="1"/>
    <col min="5" max="5" width="2.140625" style="5" customWidth="1"/>
    <col min="6" max="6" width="10.7109375" style="5" customWidth="1"/>
    <col min="7" max="16384" width="9.140625" style="5"/>
  </cols>
  <sheetData>
    <row r="4" spans="1:8" x14ac:dyDescent="0.2">
      <c r="B4" s="6"/>
      <c r="C4" s="54"/>
      <c r="D4" s="55"/>
      <c r="E4" s="56"/>
      <c r="F4" s="57" t="s">
        <v>75</v>
      </c>
      <c r="G4" s="56"/>
      <c r="H4" s="58">
        <v>0.12</v>
      </c>
    </row>
    <row r="5" spans="1:8" ht="15" x14ac:dyDescent="0.25">
      <c r="A5"/>
      <c r="B5" s="59"/>
      <c r="C5" s="60" t="s">
        <v>76</v>
      </c>
      <c r="D5" s="61"/>
      <c r="E5" s="62"/>
      <c r="F5" s="63"/>
      <c r="G5" s="64" t="s">
        <v>77</v>
      </c>
      <c r="H5" s="65"/>
    </row>
    <row r="6" spans="1:8" x14ac:dyDescent="0.2">
      <c r="A6" s="59" t="s">
        <v>78</v>
      </c>
      <c r="B6" s="2"/>
      <c r="C6" s="66" t="s">
        <v>79</v>
      </c>
      <c r="D6" s="67" t="s">
        <v>80</v>
      </c>
      <c r="E6" s="68"/>
      <c r="F6" s="9"/>
      <c r="G6" s="66" t="s">
        <v>81</v>
      </c>
      <c r="H6" s="66" t="s">
        <v>82</v>
      </c>
    </row>
    <row r="7" spans="1:8" x14ac:dyDescent="0.2">
      <c r="A7" s="14" t="s">
        <v>83</v>
      </c>
      <c r="B7" s="2" t="s">
        <v>84</v>
      </c>
      <c r="C7" s="69">
        <v>96.49</v>
      </c>
      <c r="D7" s="70">
        <v>96.65</v>
      </c>
      <c r="E7" s="68"/>
      <c r="F7" s="71" t="s">
        <v>84</v>
      </c>
      <c r="G7" s="6">
        <v>96.49</v>
      </c>
      <c r="H7" s="6">
        <v>96.65</v>
      </c>
    </row>
    <row r="8" spans="1:8" x14ac:dyDescent="0.2">
      <c r="B8" s="72" t="s">
        <v>85</v>
      </c>
      <c r="C8" s="73">
        <f>(C7+11)*8+90.2+15</f>
        <v>965.12</v>
      </c>
      <c r="D8" s="74">
        <f>(D7+11)*8+90.2+15</f>
        <v>966.40000000000009</v>
      </c>
      <c r="E8" s="68"/>
      <c r="F8" s="75" t="s">
        <v>85</v>
      </c>
      <c r="G8" s="73">
        <f t="shared" ref="G8:H8" si="0">(G7+11)*8+90.2+15</f>
        <v>965.12</v>
      </c>
      <c r="H8" s="73">
        <f t="shared" si="0"/>
        <v>966.40000000000009</v>
      </c>
    </row>
    <row r="9" spans="1:8" x14ac:dyDescent="0.2">
      <c r="B9" s="11" t="s">
        <v>24</v>
      </c>
      <c r="C9" s="76">
        <f>C8*0.15</f>
        <v>144.768</v>
      </c>
      <c r="D9" s="77">
        <f>D8*0.15</f>
        <v>144.96</v>
      </c>
      <c r="E9" s="68"/>
      <c r="F9" s="75" t="s">
        <v>86</v>
      </c>
      <c r="G9" s="76">
        <f>G8*$H$4</f>
        <v>115.81439999999999</v>
      </c>
      <c r="H9" s="76">
        <f>H8*$H$4</f>
        <v>115.968</v>
      </c>
    </row>
    <row r="10" spans="1:8" x14ac:dyDescent="0.2">
      <c r="B10" s="11" t="s">
        <v>87</v>
      </c>
      <c r="C10" s="76">
        <f>SUM(C8:C9)*0.05</f>
        <v>55.494399999999999</v>
      </c>
      <c r="D10" s="77">
        <f>SUM(D8:D9)*0.02</f>
        <v>22.227200000000003</v>
      </c>
      <c r="E10" s="68"/>
      <c r="F10" s="75" t="s">
        <v>88</v>
      </c>
      <c r="G10" s="76">
        <f>G8*$H$4</f>
        <v>115.81439999999999</v>
      </c>
      <c r="H10" s="76">
        <f>H8*$H$4</f>
        <v>115.968</v>
      </c>
    </row>
    <row r="11" spans="1:8" x14ac:dyDescent="0.2">
      <c r="B11" s="11" t="s">
        <v>4</v>
      </c>
      <c r="C11" s="76">
        <f>SUM(C8:C10)</f>
        <v>1165.3824</v>
      </c>
      <c r="D11" s="77">
        <f>SUM(D8:D10)</f>
        <v>1133.5872000000002</v>
      </c>
      <c r="E11" s="68"/>
      <c r="F11" s="75" t="s">
        <v>4</v>
      </c>
      <c r="G11" s="76">
        <f>SUM(G8:G10)</f>
        <v>1196.7488000000001</v>
      </c>
      <c r="H11" s="76">
        <f>SUM(H8:H10)</f>
        <v>1198.3360000000002</v>
      </c>
    </row>
    <row r="12" spans="1:8" x14ac:dyDescent="0.2">
      <c r="B12" s="11" t="s">
        <v>89</v>
      </c>
      <c r="C12" s="3">
        <f>C11-C10-C9</f>
        <v>965.11999999999989</v>
      </c>
      <c r="D12" s="78">
        <f>D11-D9</f>
        <v>988.62720000000013</v>
      </c>
      <c r="E12" s="68"/>
      <c r="F12" s="75" t="s">
        <v>89</v>
      </c>
      <c r="G12" s="3">
        <f>G11-G10-G9</f>
        <v>965.12000000000012</v>
      </c>
      <c r="H12" s="3">
        <f>H11-H10-H9</f>
        <v>966.4000000000002</v>
      </c>
    </row>
    <row r="13" spans="1:8" x14ac:dyDescent="0.2">
      <c r="B13" s="6"/>
      <c r="C13" s="73">
        <f>D12-C12</f>
        <v>23.507200000000239</v>
      </c>
      <c r="D13" s="79">
        <f>D12/C12-1</f>
        <v>2.4356763925729608E-2</v>
      </c>
      <c r="E13" s="8"/>
      <c r="F13" s="7"/>
      <c r="G13" s="73">
        <f>H12-G12</f>
        <v>1.2800000000000864</v>
      </c>
      <c r="H13" s="80">
        <f>1-G12/H12</f>
        <v>1.3245033112583293E-3</v>
      </c>
    </row>
    <row r="17" spans="1:12" x14ac:dyDescent="0.2">
      <c r="B17" s="6"/>
      <c r="C17" s="16"/>
      <c r="D17" s="6"/>
      <c r="E17" s="56"/>
      <c r="F17" s="57" t="s">
        <v>75</v>
      </c>
      <c r="G17" s="6"/>
      <c r="H17" s="15">
        <v>0.12</v>
      </c>
    </row>
    <row r="18" spans="1:12" ht="15" x14ac:dyDescent="0.25">
      <c r="A18" s="81"/>
      <c r="B18" s="2"/>
      <c r="C18" s="60" t="s">
        <v>76</v>
      </c>
      <c r="D18" s="61"/>
      <c r="E18" s="62"/>
      <c r="F18" s="63"/>
      <c r="G18" s="64" t="s">
        <v>77</v>
      </c>
      <c r="H18" s="65"/>
    </row>
    <row r="19" spans="1:12" x14ac:dyDescent="0.2">
      <c r="A19" s="82"/>
      <c r="B19" s="2"/>
      <c r="C19" s="69" t="s">
        <v>90</v>
      </c>
      <c r="D19" s="69" t="s">
        <v>91</v>
      </c>
      <c r="E19" s="68"/>
      <c r="F19" s="6"/>
      <c r="G19" s="69" t="s">
        <v>92</v>
      </c>
      <c r="H19" s="69" t="s">
        <v>93</v>
      </c>
    </row>
    <row r="20" spans="1:12" ht="15" x14ac:dyDescent="0.2">
      <c r="B20" s="72" t="s">
        <v>57</v>
      </c>
      <c r="C20" s="83" t="e">
        <f>#REF!</f>
        <v>#REF!</v>
      </c>
      <c r="D20" s="83" t="e">
        <f>#REF!</f>
        <v>#REF!</v>
      </c>
      <c r="E20" s="68"/>
      <c r="F20" s="11" t="s">
        <v>94</v>
      </c>
      <c r="G20" s="83" t="e">
        <f>#REF!</f>
        <v>#REF!</v>
      </c>
      <c r="H20" s="83" t="e">
        <f>#REF!</f>
        <v>#REF!</v>
      </c>
    </row>
    <row r="21" spans="1:12" x14ac:dyDescent="0.2">
      <c r="B21" s="11" t="s">
        <v>24</v>
      </c>
      <c r="C21" s="84" t="e">
        <f>C20*0.15</f>
        <v>#REF!</v>
      </c>
      <c r="D21" s="84" t="e">
        <f>D20*0.15</f>
        <v>#REF!</v>
      </c>
      <c r="E21" s="68"/>
      <c r="F21" s="11" t="s">
        <v>86</v>
      </c>
      <c r="G21" s="84" t="e">
        <f>G20*$H$17</f>
        <v>#REF!</v>
      </c>
      <c r="H21" s="84" t="e">
        <f>H20*$H$4</f>
        <v>#REF!</v>
      </c>
    </row>
    <row r="22" spans="1:12" x14ac:dyDescent="0.2">
      <c r="B22" s="11" t="s">
        <v>87</v>
      </c>
      <c r="C22" s="84" t="e">
        <f>SUM(C20:C21)*0.05</f>
        <v>#REF!</v>
      </c>
      <c r="D22" s="84" t="e">
        <f>SUM(D20:D21)*0.02</f>
        <v>#REF!</v>
      </c>
      <c r="E22" s="68"/>
      <c r="F22" s="11" t="s">
        <v>88</v>
      </c>
      <c r="G22" s="84" t="e">
        <f>G20*$H$4</f>
        <v>#REF!</v>
      </c>
      <c r="H22" s="84" t="e">
        <f>H20*$H$4</f>
        <v>#REF!</v>
      </c>
    </row>
    <row r="23" spans="1:12" x14ac:dyDescent="0.2">
      <c r="B23" s="11" t="s">
        <v>4</v>
      </c>
      <c r="C23" s="84" t="e">
        <f>SUM(C20:C22)</f>
        <v>#REF!</v>
      </c>
      <c r="D23" s="84" t="e">
        <f>SUM(D20:D22)</f>
        <v>#REF!</v>
      </c>
      <c r="E23" s="68"/>
      <c r="F23" s="11" t="s">
        <v>4</v>
      </c>
      <c r="G23" s="84" t="e">
        <f>SUM(G20:G22)</f>
        <v>#REF!</v>
      </c>
      <c r="H23" s="84" t="e">
        <f>SUM(H20:H22)</f>
        <v>#REF!</v>
      </c>
    </row>
    <row r="24" spans="1:12" x14ac:dyDescent="0.2">
      <c r="B24" s="11" t="s">
        <v>89</v>
      </c>
      <c r="C24" s="29" t="e">
        <f>C23-C22-C21</f>
        <v>#REF!</v>
      </c>
      <c r="D24" s="84" t="e">
        <f>D23-D21</f>
        <v>#REF!</v>
      </c>
      <c r="E24" s="68"/>
      <c r="F24" s="11" t="s">
        <v>89</v>
      </c>
      <c r="G24" s="29" t="e">
        <f>G23-G22-G21</f>
        <v>#REF!</v>
      </c>
      <c r="H24" s="29" t="e">
        <f>H23-H22-H21</f>
        <v>#REF!</v>
      </c>
    </row>
    <row r="25" spans="1:12" x14ac:dyDescent="0.2">
      <c r="B25" s="6"/>
      <c r="C25" s="16" t="e">
        <f>D24-C24</f>
        <v>#REF!</v>
      </c>
      <c r="D25" s="85" t="e">
        <f>D24/C24-1</f>
        <v>#REF!</v>
      </c>
      <c r="E25" s="68"/>
      <c r="F25" s="6"/>
      <c r="G25" s="73" t="e">
        <f>H24-G24</f>
        <v>#REF!</v>
      </c>
      <c r="H25" s="80" t="e">
        <f>1-G24/H24</f>
        <v>#REF!</v>
      </c>
    </row>
    <row r="29" spans="1:12" x14ac:dyDescent="0.2">
      <c r="B29" s="10" t="s">
        <v>95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">
      <c r="B30" s="10" t="s">
        <v>96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 Impact Analysis-1</vt:lpstr>
      <vt:lpstr>GST Impact Analysis-2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Pratik Mehta</cp:lastModifiedBy>
  <cp:revision>1</cp:revision>
  <dcterms:modified xsi:type="dcterms:W3CDTF">2017-04-20T12:32:40Z</dcterms:modified>
  <cp:category/>
</cp:coreProperties>
</file>