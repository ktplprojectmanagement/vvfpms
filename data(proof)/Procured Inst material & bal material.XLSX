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62" i="1" l="1"/>
</calcChain>
</file>

<file path=xl/sharedStrings.xml><?xml version="1.0" encoding="utf-8"?>
<sst xmlns="http://schemas.openxmlformats.org/spreadsheetml/2006/main" count="458" uniqueCount="218">
  <si>
    <t/>
  </si>
  <si>
    <t>AU</t>
  </si>
  <si>
    <t>M</t>
  </si>
  <si>
    <t>NOS</t>
  </si>
  <si>
    <t>1303394</t>
  </si>
  <si>
    <t>INSTRUMENT CABLE 1PAIRX1SQ. MM. SCREENED</t>
  </si>
  <si>
    <t>1314563</t>
  </si>
  <si>
    <t>INSTRUMENT CABLE 3 CORE X 1.5 SQMM,FRL</t>
  </si>
  <si>
    <t>1100026413</t>
  </si>
  <si>
    <t>3200030853</t>
  </si>
  <si>
    <t>Bead Instrumentation work</t>
  </si>
  <si>
    <t>20161022</t>
  </si>
  <si>
    <t>1100024909</t>
  </si>
  <si>
    <t>3000033603</t>
  </si>
  <si>
    <t>1317640</t>
  </si>
  <si>
    <t>ULTRA SEARCH METAL DETECTOR</t>
  </si>
  <si>
    <t>20160828</t>
  </si>
  <si>
    <t>1100024170</t>
  </si>
  <si>
    <t>3000032846</t>
  </si>
  <si>
    <t>1303246</t>
  </si>
  <si>
    <t>AIR DISTRIBUTION MANIFOLD 10  WAY</t>
  </si>
  <si>
    <t>20160630</t>
  </si>
  <si>
    <t>1100023992</t>
  </si>
  <si>
    <t>3000032552</t>
  </si>
  <si>
    <t>1324708</t>
  </si>
  <si>
    <t>CONNECTOR 1/2" NPT(M) X 3/8" BSP ( M) SS</t>
  </si>
  <si>
    <t>20160623</t>
  </si>
  <si>
    <t>1303284</t>
  </si>
  <si>
    <t>FLEXIBLE PU TUBE 8MM OD</t>
  </si>
  <si>
    <t>1305756</t>
  </si>
  <si>
    <t>COPPER TUBE 8MMX1.2MMTHK</t>
  </si>
  <si>
    <t>1303271</t>
  </si>
  <si>
    <t>CONNECTOR 8 MM OD X 1/2"NPT (M) SS316</t>
  </si>
  <si>
    <t>1303296</t>
  </si>
  <si>
    <t>NIPPLE 1/2"NPT(M)X1/2"NPT(F),200 MM,SS31</t>
  </si>
  <si>
    <t>1303344</t>
  </si>
  <si>
    <t>ADAPTER ½” NPT(F) X ½” NPT(F),SS316</t>
  </si>
  <si>
    <t>1324710</t>
  </si>
  <si>
    <t>CONNECTOR 1/4' BSP (M) X 8MM SS304</t>
  </si>
  <si>
    <t>1308194</t>
  </si>
  <si>
    <t>NIPPLE HEX SS304 1/2"X1/2"</t>
  </si>
  <si>
    <t>20160622</t>
  </si>
  <si>
    <t>1324711</t>
  </si>
  <si>
    <t>CONNECTOR 3/8" BSP ( M)X 8MM  SS304</t>
  </si>
  <si>
    <t>1100023173</t>
  </si>
  <si>
    <t>3200028124</t>
  </si>
  <si>
    <t>Inst Erection for Beads Project</t>
  </si>
  <si>
    <t>20160518</t>
  </si>
  <si>
    <t>1100023058</t>
  </si>
  <si>
    <t>3000031197</t>
  </si>
  <si>
    <t>1301579</t>
  </si>
  <si>
    <t>CABLE TRAY GI PERFORATED TYPE 50X25X2MM</t>
  </si>
  <si>
    <t>20160523</t>
  </si>
  <si>
    <t>1301575</t>
  </si>
  <si>
    <t>CABLE TRAY GI PERFORATED TYPE 100X25X2MM</t>
  </si>
  <si>
    <t>1100023059</t>
  </si>
  <si>
    <t>3000031198</t>
  </si>
  <si>
    <t>1300983</t>
  </si>
  <si>
    <t>CABLE GLAND BR.NI.PLT DBL COMP 1/2" NPT</t>
  </si>
  <si>
    <t>1300982</t>
  </si>
  <si>
    <t>CABLE GLAND BR.NI.PLT DBL COMP 1.1/4" ET</t>
  </si>
  <si>
    <t>1300981</t>
  </si>
  <si>
    <t>CABLE GLAND BR.NI.PLT DBL COMP 1.1/2"ET</t>
  </si>
  <si>
    <t>1100022558</t>
  </si>
  <si>
    <t>3000031707</t>
  </si>
  <si>
    <t>1300798</t>
  </si>
  <si>
    <t>JUNCTION BOX NFLP WEATHERPROOF-IP65</t>
  </si>
  <si>
    <t>20160425</t>
  </si>
  <si>
    <t>1100022526</t>
  </si>
  <si>
    <t>3000030707</t>
  </si>
  <si>
    <t>1100022421</t>
  </si>
  <si>
    <t>3000030009</t>
  </si>
  <si>
    <t>1316066</t>
  </si>
  <si>
    <t>WATER METER FLANGE 3"</t>
  </si>
  <si>
    <t>20160409</t>
  </si>
  <si>
    <t>1100021732</t>
  </si>
  <si>
    <t>3000029202</t>
  </si>
  <si>
    <t>1302361</t>
  </si>
  <si>
    <t>FLOW TRANS.-MASS FLOW METER-SIZE-1"</t>
  </si>
  <si>
    <t>20160407</t>
  </si>
  <si>
    <t>1300985</t>
  </si>
  <si>
    <t>CABLE GLAND BR.NI.PLT DBL COMP 3/4" ET</t>
  </si>
  <si>
    <t>1302358</t>
  </si>
  <si>
    <t>SYPHON, 1/2"NPT (M) X 1/2"NPT (F)</t>
  </si>
  <si>
    <t>1302472</t>
  </si>
  <si>
    <t>THERMOWELL + RTD SENSOR PT-100</t>
  </si>
  <si>
    <t>1302388</t>
  </si>
  <si>
    <t>TEMP.TRANSMITTER 0-350°C 2WIRE</t>
  </si>
  <si>
    <t>1313791</t>
  </si>
  <si>
    <t>AUTOTUNE PID CONTROLLER</t>
  </si>
  <si>
    <t>1303119</t>
  </si>
  <si>
    <t>FLOW INDICATOR CUM TOTATLIZER</t>
  </si>
  <si>
    <t>1302395</t>
  </si>
  <si>
    <t>DIGITAL TEMPERATURE INDICATOR</t>
  </si>
  <si>
    <t>1302363</t>
  </si>
  <si>
    <t>FLOW TRANSMITTER - MASS FLOW METER</t>
  </si>
  <si>
    <t>Plant</t>
  </si>
  <si>
    <t>Material</t>
  </si>
  <si>
    <t>Short Text</t>
  </si>
  <si>
    <t>Delivery Date</t>
  </si>
  <si>
    <t>Unit of Measure</t>
  </si>
  <si>
    <t>Total Value</t>
  </si>
  <si>
    <t>PRF Date</t>
  </si>
  <si>
    <t>PO</t>
  </si>
  <si>
    <t>Qty</t>
  </si>
  <si>
    <t>Project</t>
  </si>
  <si>
    <t>Beads Project</t>
  </si>
  <si>
    <t>Sr No</t>
  </si>
  <si>
    <t>Beads Project Ordered qty V/s Inventory status</t>
  </si>
  <si>
    <t>PRF No.</t>
  </si>
  <si>
    <t>Inventory Status</t>
  </si>
  <si>
    <t>Consumed total Qty</t>
  </si>
  <si>
    <t>1303128</t>
  </si>
  <si>
    <t>PID TEMPRETURE CONTROLLER</t>
  </si>
  <si>
    <t>20170308</t>
  </si>
  <si>
    <t>1325710</t>
  </si>
  <si>
    <t>TAPE GRAFSEAL GRAPHITE 1/2"X10M ADHESIVE</t>
  </si>
  <si>
    <t>BOX</t>
  </si>
  <si>
    <t>1303163</t>
  </si>
  <si>
    <t>ELECTRONIC HOOTERS</t>
  </si>
  <si>
    <t>20170215</t>
  </si>
  <si>
    <t>20170208</t>
  </si>
  <si>
    <t>1302292</t>
  </si>
  <si>
    <t>PRESSURE GAUGE</t>
  </si>
  <si>
    <t>20170108</t>
  </si>
  <si>
    <t>1301491</t>
  </si>
  <si>
    <t>FUSE GLASS SIZE 5X20MM 1 A</t>
  </si>
  <si>
    <t>20161119</t>
  </si>
  <si>
    <t>1301204</t>
  </si>
  <si>
    <t>CIRCUIT BREAKER MCB DOUBLE POLE 10 A</t>
  </si>
  <si>
    <t>1301206</t>
  </si>
  <si>
    <t>CIRCUIT BREAKER MCB DOUBLE POLE 2 A</t>
  </si>
  <si>
    <t>1302542</t>
  </si>
  <si>
    <t>LEVEL GAUGE - FLOAT &amp; BOARD TYPE-1.</t>
  </si>
  <si>
    <t>20161020</t>
  </si>
  <si>
    <t>20161015</t>
  </si>
  <si>
    <t>1300010</t>
  </si>
  <si>
    <t>ANGLE M.S. ISA 50 X 50 X 6 MM</t>
  </si>
  <si>
    <t>KG</t>
  </si>
  <si>
    <t>Inst Erection for Bitumin Project</t>
  </si>
  <si>
    <t>20161014</t>
  </si>
  <si>
    <t>20161006</t>
  </si>
  <si>
    <t>1306497</t>
  </si>
  <si>
    <t>COPPER TUBE 8MM OD</t>
  </si>
  <si>
    <t>20161005</t>
  </si>
  <si>
    <t>1302455</t>
  </si>
  <si>
    <t>TEMPERATURE GAUGE WITH THERMOWELL</t>
  </si>
  <si>
    <t>20160930</t>
  </si>
  <si>
    <t>1302528</t>
  </si>
  <si>
    <t>LEVEL TRANSMITTER - RADAR TYPE</t>
  </si>
  <si>
    <t>20160922</t>
  </si>
  <si>
    <t>20160921</t>
  </si>
  <si>
    <t>1302405</t>
  </si>
  <si>
    <t>PT-100 RTD WITH THERMOWELL</t>
  </si>
  <si>
    <t>20160920</t>
  </si>
  <si>
    <t>20160913</t>
  </si>
  <si>
    <t>1316313</t>
  </si>
  <si>
    <t>CABLE TRAY GI PERFORATED  50X25X2MM -NOs</t>
  </si>
  <si>
    <t>20160915</t>
  </si>
  <si>
    <t>1302344</t>
  </si>
  <si>
    <t>PRESSURE GAUGE DIAPHRAGM TYPE</t>
  </si>
  <si>
    <t>1322456</t>
  </si>
  <si>
    <t>BOURDON TYPE PRESSURE GAUGE</t>
  </si>
  <si>
    <t>20160910</t>
  </si>
  <si>
    <t>1325060</t>
  </si>
  <si>
    <t>STEAM PRESSURE REGULATING VALVE CS 2"</t>
  </si>
  <si>
    <t>1100029022</t>
  </si>
  <si>
    <t>3000039880</t>
  </si>
  <si>
    <t>1100029054</t>
  </si>
  <si>
    <t>3000040320</t>
  </si>
  <si>
    <t>1100028641</t>
  </si>
  <si>
    <t>3000039271</t>
  </si>
  <si>
    <t>1100028492</t>
  </si>
  <si>
    <t>3000038965</t>
  </si>
  <si>
    <t>1100027850</t>
  </si>
  <si>
    <t>3000038069</t>
  </si>
  <si>
    <t>1100026876</t>
  </si>
  <si>
    <t>3000036639</t>
  </si>
  <si>
    <t>3000036644</t>
  </si>
  <si>
    <t>1100026288</t>
  </si>
  <si>
    <t>3000036216</t>
  </si>
  <si>
    <t>1100026257</t>
  </si>
  <si>
    <t>3000035443</t>
  </si>
  <si>
    <t>1100026258</t>
  </si>
  <si>
    <t>3000035718</t>
  </si>
  <si>
    <t>1100026271</t>
  </si>
  <si>
    <t>3000035983</t>
  </si>
  <si>
    <t>1100026282</t>
  </si>
  <si>
    <t>3200031265</t>
  </si>
  <si>
    <t>1100026097</t>
  </si>
  <si>
    <t>3000035487</t>
  </si>
  <si>
    <t>1100026099</t>
  </si>
  <si>
    <t>3000035456</t>
  </si>
  <si>
    <t>1100025957</t>
  </si>
  <si>
    <t>3000035315</t>
  </si>
  <si>
    <t>1100025837</t>
  </si>
  <si>
    <t>3000035581</t>
  </si>
  <si>
    <t>1100025642</t>
  </si>
  <si>
    <t>3000035076</t>
  </si>
  <si>
    <t>1100025805</t>
  </si>
  <si>
    <t>1100025645</t>
  </si>
  <si>
    <t>3000034652</t>
  </si>
  <si>
    <t>1100025652</t>
  </si>
  <si>
    <t>3000035580</t>
  </si>
  <si>
    <t>1100025600</t>
  </si>
  <si>
    <t>3000034650</t>
  </si>
  <si>
    <t>1100025604</t>
  </si>
  <si>
    <t>3000035455</t>
  </si>
  <si>
    <t>1100025608</t>
  </si>
  <si>
    <t>3000035518</t>
  </si>
  <si>
    <t>1100025488</t>
  </si>
  <si>
    <t>3000034430</t>
  </si>
  <si>
    <t>Bitumin Project</t>
  </si>
  <si>
    <t>PRF</t>
  </si>
  <si>
    <t xml:space="preserve">Unit </t>
  </si>
  <si>
    <t>2 qty  remaianing</t>
  </si>
  <si>
    <t>Out of toal cost less than 1% of inventory pending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</si>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</sst>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0" borderId="0" xfId="0" applyNumberFormat="1" applyFont="1" applyAlignment="1">
      <alignment vertical="top"/>
    </xf>
    <xf numFmtId="0" fontId="2" fillId="0" borderId="1" xfId="0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L71"/>
  <sheetViews>
    <sheetView tabSelected="1" workbookViewId="0">
      <selection activeCell="F1" sqref="F1"/>
    </sheetView>
  </sheetViews>
  <sheetFormatPr defaultRowHeight="12.75" x14ac:dyDescent="0.2"/>
  <cols>
    <col min="1" max="1" width="7" style="22" customWidth="1"/>
    <col min="2" max="2" width="13.85546875" style="1" bestFit="1" customWidth="1"/>
    <col min="3" max="3" width="9.85546875" style="2" customWidth="1"/>
    <col min="4" max="4" width="13.42578125" customWidth="1"/>
    <col min="5" max="5" width="11" bestFit="1" customWidth="1"/>
    <col min="6" max="6" width="12.140625" bestFit="1" customWidth="1"/>
    <col min="7" max="7" width="47" style="3" bestFit="1" customWidth="1"/>
    <col min="8" max="8" width="15" bestFit="1" customWidth="1"/>
    <col min="9" max="9" width="6.7109375" style="1" customWidth="1"/>
    <col min="10" max="10" width="11" bestFit="1" customWidth="1"/>
    <col min="11" max="11" width="13" customWidth="1"/>
    <col min="12" max="12" width="18.28515625" bestFit="1" customWidth="1"/>
  </cols>
  <sheetData>
    <row r="2" spans="1:12" s="4" customFormat="1" x14ac:dyDescent="0.2">
      <c r="A2" s="7" t="s">
        <v>108</v>
      </c>
      <c r="B2" s="7"/>
      <c r="C2" s="7"/>
      <c r="D2" s="7"/>
      <c r="E2" s="7"/>
      <c r="I2" s="5"/>
    </row>
    <row r="3" spans="1:12" s="4" customFormat="1" x14ac:dyDescent="0.2">
      <c r="A3" s="23"/>
      <c r="B3" s="6"/>
      <c r="C3" s="6"/>
      <c r="D3" s="6"/>
      <c r="E3" s="6"/>
      <c r="I3" s="5"/>
    </row>
    <row r="4" spans="1:12" s="18" customFormat="1" ht="25.5" x14ac:dyDescent="0.2">
      <c r="A4" s="20" t="s">
        <v>107</v>
      </c>
      <c r="B4" s="13" t="s">
        <v>105</v>
      </c>
      <c r="C4" s="14" t="s">
        <v>102</v>
      </c>
      <c r="D4" s="15" t="s">
        <v>109</v>
      </c>
      <c r="E4" s="16" t="s">
        <v>103</v>
      </c>
      <c r="F4" s="16" t="s">
        <v>97</v>
      </c>
      <c r="G4" s="16" t="s">
        <v>98</v>
      </c>
      <c r="H4" s="16" t="s">
        <v>99</v>
      </c>
      <c r="I4" s="17" t="s">
        <v>104</v>
      </c>
      <c r="J4" s="15" t="s">
        <v>100</v>
      </c>
      <c r="K4" s="16" t="s">
        <v>101</v>
      </c>
      <c r="L4" s="16" t="s">
        <v>110</v>
      </c>
    </row>
    <row r="5" spans="1:12" x14ac:dyDescent="0.2">
      <c r="A5" s="21">
        <v>1</v>
      </c>
      <c r="B5" s="8" t="s">
        <v>106</v>
      </c>
      <c r="C5" s="9">
        <v>42664</v>
      </c>
      <c r="D5" s="10" t="s">
        <v>8</v>
      </c>
      <c r="E5" s="10" t="s">
        <v>9</v>
      </c>
      <c r="F5" s="10" t="s">
        <v>0</v>
      </c>
      <c r="G5" s="19" t="s">
        <v>10</v>
      </c>
      <c r="H5" s="10" t="s">
        <v>11</v>
      </c>
      <c r="I5" s="11">
        <v>1</v>
      </c>
      <c r="J5" s="10" t="s">
        <v>1</v>
      </c>
      <c r="K5" s="12">
        <v>14182</v>
      </c>
      <c r="L5" s="19" t="s">
        <v>111</v>
      </c>
    </row>
    <row r="6" spans="1:12" x14ac:dyDescent="0.2">
      <c r="A6" s="21">
        <v>2</v>
      </c>
      <c r="B6" s="8" t="s">
        <v>106</v>
      </c>
      <c r="C6" s="9">
        <v>42585</v>
      </c>
      <c r="D6" s="10" t="s">
        <v>12</v>
      </c>
      <c r="E6" s="10" t="s">
        <v>13</v>
      </c>
      <c r="F6" s="10" t="s">
        <v>14</v>
      </c>
      <c r="G6" s="19" t="s">
        <v>15</v>
      </c>
      <c r="H6" s="10" t="s">
        <v>16</v>
      </c>
      <c r="I6" s="11">
        <v>1</v>
      </c>
      <c r="J6" s="10" t="s">
        <v>3</v>
      </c>
      <c r="K6" s="12">
        <v>430000</v>
      </c>
      <c r="L6" s="19" t="s">
        <v>111</v>
      </c>
    </row>
    <row r="7" spans="1:12" x14ac:dyDescent="0.2">
      <c r="A7" s="21">
        <v>3</v>
      </c>
      <c r="B7" s="8" t="s">
        <v>106</v>
      </c>
      <c r="C7" s="9">
        <v>42549</v>
      </c>
      <c r="D7" s="10" t="s">
        <v>17</v>
      </c>
      <c r="E7" s="10" t="s">
        <v>18</v>
      </c>
      <c r="F7" s="10" t="s">
        <v>19</v>
      </c>
      <c r="G7" s="19" t="s">
        <v>20</v>
      </c>
      <c r="H7" s="10" t="s">
        <v>21</v>
      </c>
      <c r="I7" s="11">
        <v>1</v>
      </c>
      <c r="J7" s="10" t="s">
        <v>3</v>
      </c>
      <c r="K7" s="12">
        <v>6000</v>
      </c>
      <c r="L7" s="19" t="s">
        <v>111</v>
      </c>
    </row>
    <row r="8" spans="1:12" x14ac:dyDescent="0.2">
      <c r="A8" s="21">
        <v>4</v>
      </c>
      <c r="B8" s="8" t="s">
        <v>106</v>
      </c>
      <c r="C8" s="9">
        <v>42542</v>
      </c>
      <c r="D8" s="10" t="s">
        <v>22</v>
      </c>
      <c r="E8" s="10" t="s">
        <v>23</v>
      </c>
      <c r="F8" s="10" t="s">
        <v>24</v>
      </c>
      <c r="G8" s="19" t="s">
        <v>25</v>
      </c>
      <c r="H8" s="10" t="s">
        <v>26</v>
      </c>
      <c r="I8" s="11">
        <v>6</v>
      </c>
      <c r="J8" s="10" t="s">
        <v>3</v>
      </c>
      <c r="K8" s="12">
        <v>960</v>
      </c>
      <c r="L8" s="19" t="s">
        <v>111</v>
      </c>
    </row>
    <row r="9" spans="1:12" x14ac:dyDescent="0.2">
      <c r="A9" s="21">
        <v>5</v>
      </c>
      <c r="B9" s="8" t="s">
        <v>106</v>
      </c>
      <c r="C9" s="9">
        <v>42542</v>
      </c>
      <c r="D9" s="10" t="s">
        <v>22</v>
      </c>
      <c r="E9" s="10" t="s">
        <v>23</v>
      </c>
      <c r="F9" s="10" t="s">
        <v>27</v>
      </c>
      <c r="G9" s="19" t="s">
        <v>28</v>
      </c>
      <c r="H9" s="10" t="s">
        <v>26</v>
      </c>
      <c r="I9" s="11">
        <v>70</v>
      </c>
      <c r="J9" s="10" t="s">
        <v>2</v>
      </c>
      <c r="K9" s="12">
        <v>4900</v>
      </c>
      <c r="L9" s="19" t="s">
        <v>111</v>
      </c>
    </row>
    <row r="10" spans="1:12" x14ac:dyDescent="0.2">
      <c r="A10" s="21">
        <v>6</v>
      </c>
      <c r="B10" s="8" t="s">
        <v>106</v>
      </c>
      <c r="C10" s="9">
        <v>42542</v>
      </c>
      <c r="D10" s="10" t="s">
        <v>22</v>
      </c>
      <c r="E10" s="10" t="s">
        <v>23</v>
      </c>
      <c r="F10" s="10" t="s">
        <v>29</v>
      </c>
      <c r="G10" s="19" t="s">
        <v>30</v>
      </c>
      <c r="H10" s="10" t="s">
        <v>26</v>
      </c>
      <c r="I10" s="11">
        <v>50</v>
      </c>
      <c r="J10" s="10" t="s">
        <v>2</v>
      </c>
      <c r="K10" s="12">
        <v>6750</v>
      </c>
      <c r="L10" s="19" t="s">
        <v>111</v>
      </c>
    </row>
    <row r="11" spans="1:12" x14ac:dyDescent="0.2">
      <c r="A11" s="21">
        <v>7</v>
      </c>
      <c r="B11" s="8" t="s">
        <v>106</v>
      </c>
      <c r="C11" s="9">
        <v>42542</v>
      </c>
      <c r="D11" s="10" t="s">
        <v>22</v>
      </c>
      <c r="E11" s="10" t="s">
        <v>23</v>
      </c>
      <c r="F11" s="10" t="s">
        <v>31</v>
      </c>
      <c r="G11" s="19" t="s">
        <v>32</v>
      </c>
      <c r="H11" s="10" t="s">
        <v>26</v>
      </c>
      <c r="I11" s="11">
        <v>45</v>
      </c>
      <c r="J11" s="10" t="s">
        <v>3</v>
      </c>
      <c r="K11" s="12">
        <v>4050</v>
      </c>
      <c r="L11" s="19" t="s">
        <v>111</v>
      </c>
    </row>
    <row r="12" spans="1:12" x14ac:dyDescent="0.2">
      <c r="A12" s="21">
        <v>8</v>
      </c>
      <c r="B12" s="8" t="s">
        <v>106</v>
      </c>
      <c r="C12" s="9">
        <v>42542</v>
      </c>
      <c r="D12" s="10" t="s">
        <v>22</v>
      </c>
      <c r="E12" s="10" t="s">
        <v>23</v>
      </c>
      <c r="F12" s="10" t="s">
        <v>33</v>
      </c>
      <c r="G12" s="19" t="s">
        <v>34</v>
      </c>
      <c r="H12" s="10" t="s">
        <v>26</v>
      </c>
      <c r="I12" s="11">
        <v>10</v>
      </c>
      <c r="J12" s="10" t="s">
        <v>3</v>
      </c>
      <c r="K12" s="12">
        <v>2245.1</v>
      </c>
      <c r="L12" s="19" t="s">
        <v>111</v>
      </c>
    </row>
    <row r="13" spans="1:12" x14ac:dyDescent="0.2">
      <c r="A13" s="21">
        <v>9</v>
      </c>
      <c r="B13" s="8" t="s">
        <v>106</v>
      </c>
      <c r="C13" s="9">
        <v>42542</v>
      </c>
      <c r="D13" s="10" t="s">
        <v>22</v>
      </c>
      <c r="E13" s="10" t="s">
        <v>23</v>
      </c>
      <c r="F13" s="10" t="s">
        <v>35</v>
      </c>
      <c r="G13" s="19" t="s">
        <v>36</v>
      </c>
      <c r="H13" s="10" t="s">
        <v>26</v>
      </c>
      <c r="I13" s="11">
        <v>5</v>
      </c>
      <c r="J13" s="10" t="s">
        <v>3</v>
      </c>
      <c r="K13" s="12">
        <v>587.1</v>
      </c>
      <c r="L13" s="19" t="s">
        <v>111</v>
      </c>
    </row>
    <row r="14" spans="1:12" x14ac:dyDescent="0.2">
      <c r="A14" s="21">
        <v>10</v>
      </c>
      <c r="B14" s="8" t="s">
        <v>106</v>
      </c>
      <c r="C14" s="9">
        <v>42542</v>
      </c>
      <c r="D14" s="10" t="s">
        <v>22</v>
      </c>
      <c r="E14" s="10" t="s">
        <v>23</v>
      </c>
      <c r="F14" s="10" t="s">
        <v>37</v>
      </c>
      <c r="G14" s="19" t="s">
        <v>38</v>
      </c>
      <c r="H14" s="10" t="s">
        <v>26</v>
      </c>
      <c r="I14" s="11">
        <v>35</v>
      </c>
      <c r="J14" s="10" t="s">
        <v>3</v>
      </c>
      <c r="K14" s="12">
        <v>3500</v>
      </c>
      <c r="L14" s="19" t="s">
        <v>111</v>
      </c>
    </row>
    <row r="15" spans="1:12" x14ac:dyDescent="0.2">
      <c r="A15" s="21">
        <v>11</v>
      </c>
      <c r="B15" s="8" t="s">
        <v>106</v>
      </c>
      <c r="C15" s="9">
        <v>42542</v>
      </c>
      <c r="D15" s="10" t="s">
        <v>22</v>
      </c>
      <c r="E15" s="10" t="s">
        <v>23</v>
      </c>
      <c r="F15" s="10" t="s">
        <v>39</v>
      </c>
      <c r="G15" s="19" t="s">
        <v>40</v>
      </c>
      <c r="H15" s="10" t="s">
        <v>41</v>
      </c>
      <c r="I15" s="11">
        <v>2</v>
      </c>
      <c r="J15" s="10" t="s">
        <v>3</v>
      </c>
      <c r="K15" s="12">
        <v>400</v>
      </c>
      <c r="L15" s="19" t="s">
        <v>111</v>
      </c>
    </row>
    <row r="16" spans="1:12" x14ac:dyDescent="0.2">
      <c r="A16" s="21">
        <v>12</v>
      </c>
      <c r="B16" s="8" t="s">
        <v>106</v>
      </c>
      <c r="C16" s="9">
        <v>42542</v>
      </c>
      <c r="D16" s="10" t="s">
        <v>22</v>
      </c>
      <c r="E16" s="10" t="s">
        <v>23</v>
      </c>
      <c r="F16" s="10" t="s">
        <v>42</v>
      </c>
      <c r="G16" s="19" t="s">
        <v>43</v>
      </c>
      <c r="H16" s="10" t="s">
        <v>26</v>
      </c>
      <c r="I16" s="11">
        <v>4</v>
      </c>
      <c r="J16" s="10" t="s">
        <v>3</v>
      </c>
      <c r="K16" s="12">
        <v>400</v>
      </c>
      <c r="L16" s="19" t="s">
        <v>111</v>
      </c>
    </row>
    <row r="17" spans="1:12" x14ac:dyDescent="0.2">
      <c r="A17" s="21">
        <v>13</v>
      </c>
      <c r="B17" s="8" t="s">
        <v>106</v>
      </c>
      <c r="C17" s="9">
        <v>42507</v>
      </c>
      <c r="D17" s="10" t="s">
        <v>44</v>
      </c>
      <c r="E17" s="10" t="s">
        <v>45</v>
      </c>
      <c r="F17" s="10" t="s">
        <v>0</v>
      </c>
      <c r="G17" s="19" t="s">
        <v>46</v>
      </c>
      <c r="H17" s="10" t="s">
        <v>47</v>
      </c>
      <c r="I17" s="11">
        <v>1</v>
      </c>
      <c r="J17" s="10" t="s">
        <v>1</v>
      </c>
      <c r="K17" s="12">
        <v>194425</v>
      </c>
      <c r="L17" s="19" t="s">
        <v>111</v>
      </c>
    </row>
    <row r="18" spans="1:12" x14ac:dyDescent="0.2">
      <c r="A18" s="21">
        <v>14</v>
      </c>
      <c r="B18" s="8" t="s">
        <v>106</v>
      </c>
      <c r="C18" s="9">
        <v>42501</v>
      </c>
      <c r="D18" s="10" t="s">
        <v>48</v>
      </c>
      <c r="E18" s="10" t="s">
        <v>49</v>
      </c>
      <c r="F18" s="10" t="s">
        <v>50</v>
      </c>
      <c r="G18" s="19" t="s">
        <v>51</v>
      </c>
      <c r="H18" s="10" t="s">
        <v>52</v>
      </c>
      <c r="I18" s="11">
        <v>70</v>
      </c>
      <c r="J18" s="10" t="s">
        <v>2</v>
      </c>
      <c r="K18" s="12">
        <v>8750</v>
      </c>
      <c r="L18" s="19" t="s">
        <v>111</v>
      </c>
    </row>
    <row r="19" spans="1:12" x14ac:dyDescent="0.2">
      <c r="A19" s="21">
        <v>15</v>
      </c>
      <c r="B19" s="8" t="s">
        <v>106</v>
      </c>
      <c r="C19" s="9">
        <v>42501</v>
      </c>
      <c r="D19" s="10" t="s">
        <v>48</v>
      </c>
      <c r="E19" s="10" t="s">
        <v>49</v>
      </c>
      <c r="F19" s="10" t="s">
        <v>53</v>
      </c>
      <c r="G19" s="19" t="s">
        <v>54</v>
      </c>
      <c r="H19" s="10" t="s">
        <v>52</v>
      </c>
      <c r="I19" s="11">
        <v>50</v>
      </c>
      <c r="J19" s="10" t="s">
        <v>2</v>
      </c>
      <c r="K19" s="12">
        <v>7500</v>
      </c>
      <c r="L19" s="19" t="s">
        <v>111</v>
      </c>
    </row>
    <row r="20" spans="1:12" x14ac:dyDescent="0.2">
      <c r="A20" s="21">
        <v>16</v>
      </c>
      <c r="B20" s="8" t="s">
        <v>106</v>
      </c>
      <c r="C20" s="9">
        <v>42501</v>
      </c>
      <c r="D20" s="10" t="s">
        <v>55</v>
      </c>
      <c r="E20" s="10" t="s">
        <v>56</v>
      </c>
      <c r="F20" s="10" t="s">
        <v>57</v>
      </c>
      <c r="G20" s="19" t="s">
        <v>58</v>
      </c>
      <c r="H20" s="10" t="s">
        <v>47</v>
      </c>
      <c r="I20" s="11">
        <v>30</v>
      </c>
      <c r="J20" s="10" t="s">
        <v>3</v>
      </c>
      <c r="K20" s="12">
        <v>4500</v>
      </c>
      <c r="L20" s="19" t="s">
        <v>111</v>
      </c>
    </row>
    <row r="21" spans="1:12" x14ac:dyDescent="0.2">
      <c r="A21" s="21">
        <v>17</v>
      </c>
      <c r="B21" s="8" t="s">
        <v>106</v>
      </c>
      <c r="C21" s="9">
        <v>42501</v>
      </c>
      <c r="D21" s="10" t="s">
        <v>55</v>
      </c>
      <c r="E21" s="10" t="s">
        <v>56</v>
      </c>
      <c r="F21" s="10" t="s">
        <v>59</v>
      </c>
      <c r="G21" s="19" t="s">
        <v>60</v>
      </c>
      <c r="H21" s="10" t="s">
        <v>47</v>
      </c>
      <c r="I21" s="11">
        <v>10</v>
      </c>
      <c r="J21" s="10" t="s">
        <v>3</v>
      </c>
      <c r="K21" s="12">
        <v>3506.6</v>
      </c>
      <c r="L21" s="19" t="s">
        <v>111</v>
      </c>
    </row>
    <row r="22" spans="1:12" x14ac:dyDescent="0.2">
      <c r="A22" s="21">
        <v>18</v>
      </c>
      <c r="B22" s="8" t="s">
        <v>106</v>
      </c>
      <c r="C22" s="9">
        <v>42501</v>
      </c>
      <c r="D22" s="10" t="s">
        <v>55</v>
      </c>
      <c r="E22" s="10" t="s">
        <v>56</v>
      </c>
      <c r="F22" s="10" t="s">
        <v>61</v>
      </c>
      <c r="G22" s="19" t="s">
        <v>62</v>
      </c>
      <c r="H22" s="10" t="s">
        <v>47</v>
      </c>
      <c r="I22" s="11">
        <v>5</v>
      </c>
      <c r="J22" s="10" t="s">
        <v>3</v>
      </c>
      <c r="K22" s="12">
        <v>1750</v>
      </c>
      <c r="L22" s="19" t="s">
        <v>111</v>
      </c>
    </row>
    <row r="23" spans="1:12" x14ac:dyDescent="0.2">
      <c r="A23" s="21">
        <v>19</v>
      </c>
      <c r="B23" s="8" t="s">
        <v>106</v>
      </c>
      <c r="C23" s="9">
        <v>42478</v>
      </c>
      <c r="D23" s="10" t="s">
        <v>63</v>
      </c>
      <c r="E23" s="10" t="s">
        <v>64</v>
      </c>
      <c r="F23" s="10" t="s">
        <v>65</v>
      </c>
      <c r="G23" s="19" t="s">
        <v>66</v>
      </c>
      <c r="H23" s="10" t="s">
        <v>67</v>
      </c>
      <c r="I23" s="11">
        <v>7</v>
      </c>
      <c r="J23" s="10" t="s">
        <v>3</v>
      </c>
      <c r="K23" s="12">
        <v>35000</v>
      </c>
      <c r="L23" s="19" t="s">
        <v>111</v>
      </c>
    </row>
    <row r="24" spans="1:12" x14ac:dyDescent="0.2">
      <c r="A24" s="21">
        <v>20</v>
      </c>
      <c r="B24" s="8" t="s">
        <v>106</v>
      </c>
      <c r="C24" s="9">
        <v>42475</v>
      </c>
      <c r="D24" s="10" t="s">
        <v>68</v>
      </c>
      <c r="E24" s="10" t="s">
        <v>69</v>
      </c>
      <c r="F24" s="10" t="s">
        <v>4</v>
      </c>
      <c r="G24" s="19" t="s">
        <v>5</v>
      </c>
      <c r="H24" s="10" t="s">
        <v>67</v>
      </c>
      <c r="I24" s="11">
        <v>300</v>
      </c>
      <c r="J24" s="10" t="s">
        <v>2</v>
      </c>
      <c r="K24" s="12">
        <v>12000</v>
      </c>
      <c r="L24" s="19" t="s">
        <v>111</v>
      </c>
    </row>
    <row r="25" spans="1:12" x14ac:dyDescent="0.2">
      <c r="A25" s="21">
        <v>21</v>
      </c>
      <c r="B25" s="8" t="s">
        <v>106</v>
      </c>
      <c r="C25" s="9">
        <v>42475</v>
      </c>
      <c r="D25" s="10" t="s">
        <v>68</v>
      </c>
      <c r="E25" s="10" t="s">
        <v>69</v>
      </c>
      <c r="F25" s="10" t="s">
        <v>6</v>
      </c>
      <c r="G25" s="19" t="s">
        <v>7</v>
      </c>
      <c r="H25" s="10" t="s">
        <v>67</v>
      </c>
      <c r="I25" s="11">
        <v>500</v>
      </c>
      <c r="J25" s="10" t="s">
        <v>2</v>
      </c>
      <c r="K25" s="12">
        <v>22500</v>
      </c>
      <c r="L25" s="19" t="s">
        <v>111</v>
      </c>
    </row>
    <row r="26" spans="1:12" x14ac:dyDescent="0.2">
      <c r="A26" s="21">
        <v>22</v>
      </c>
      <c r="B26" s="8" t="s">
        <v>106</v>
      </c>
      <c r="C26" s="9">
        <v>42469</v>
      </c>
      <c r="D26" s="10" t="s">
        <v>70</v>
      </c>
      <c r="E26" s="10" t="s">
        <v>71</v>
      </c>
      <c r="F26" s="10" t="s">
        <v>72</v>
      </c>
      <c r="G26" s="19" t="s">
        <v>73</v>
      </c>
      <c r="H26" s="10" t="s">
        <v>74</v>
      </c>
      <c r="I26" s="11">
        <v>1</v>
      </c>
      <c r="J26" s="10" t="s">
        <v>3</v>
      </c>
      <c r="K26" s="12">
        <v>12000</v>
      </c>
      <c r="L26" s="19" t="s">
        <v>111</v>
      </c>
    </row>
    <row r="27" spans="1:12" x14ac:dyDescent="0.2">
      <c r="A27" s="21">
        <v>23</v>
      </c>
      <c r="B27" s="8" t="s">
        <v>106</v>
      </c>
      <c r="C27" s="9">
        <v>42436</v>
      </c>
      <c r="D27" s="10" t="s">
        <v>75</v>
      </c>
      <c r="E27" s="10" t="s">
        <v>76</v>
      </c>
      <c r="F27" s="10" t="s">
        <v>77</v>
      </c>
      <c r="G27" s="19" t="s">
        <v>78</v>
      </c>
      <c r="H27" s="10" t="s">
        <v>79</v>
      </c>
      <c r="I27" s="11">
        <v>1</v>
      </c>
      <c r="J27" s="10" t="s">
        <v>3</v>
      </c>
      <c r="K27" s="12">
        <v>350000</v>
      </c>
      <c r="L27" s="19" t="s">
        <v>111</v>
      </c>
    </row>
    <row r="28" spans="1:12" x14ac:dyDescent="0.2">
      <c r="J28" s="3"/>
      <c r="K28" s="26"/>
    </row>
    <row r="30" spans="1:12" s="18" customFormat="1" x14ac:dyDescent="0.2">
      <c r="A30" s="20" t="s">
        <v>96</v>
      </c>
      <c r="B30" s="13" t="s">
        <v>105</v>
      </c>
      <c r="C30" s="16" t="s">
        <v>102</v>
      </c>
      <c r="D30" s="15" t="s">
        <v>213</v>
      </c>
      <c r="E30" s="16" t="s">
        <v>103</v>
      </c>
      <c r="F30" s="16" t="s">
        <v>97</v>
      </c>
      <c r="G30" s="16" t="s">
        <v>98</v>
      </c>
      <c r="H30" s="16" t="s">
        <v>99</v>
      </c>
      <c r="I30" s="15" t="s">
        <v>104</v>
      </c>
      <c r="J30" s="15" t="s">
        <v>214</v>
      </c>
      <c r="K30" s="16" t="s">
        <v>101</v>
      </c>
      <c r="L30" s="16"/>
    </row>
    <row r="31" spans="1:12" x14ac:dyDescent="0.2">
      <c r="A31" s="21">
        <v>1</v>
      </c>
      <c r="B31" s="8" t="s">
        <v>212</v>
      </c>
      <c r="C31" s="24">
        <v>42800</v>
      </c>
      <c r="D31" s="10" t="s">
        <v>166</v>
      </c>
      <c r="E31" s="10" t="s">
        <v>167</v>
      </c>
      <c r="F31" s="10" t="s">
        <v>112</v>
      </c>
      <c r="G31" s="10" t="s">
        <v>113</v>
      </c>
      <c r="H31" s="10" t="s">
        <v>114</v>
      </c>
      <c r="I31" s="25">
        <v>1</v>
      </c>
      <c r="J31" s="10" t="s">
        <v>3</v>
      </c>
      <c r="K31" s="12">
        <v>8000</v>
      </c>
      <c r="L31" s="19" t="s">
        <v>111</v>
      </c>
    </row>
    <row r="32" spans="1:12" x14ac:dyDescent="0.2">
      <c r="A32" s="21">
        <v>2</v>
      </c>
      <c r="B32" s="8" t="s">
        <v>212</v>
      </c>
      <c r="C32" s="24">
        <v>42800</v>
      </c>
      <c r="D32" s="10" t="s">
        <v>168</v>
      </c>
      <c r="E32" s="10" t="s">
        <v>169</v>
      </c>
      <c r="F32" s="10" t="s">
        <v>115</v>
      </c>
      <c r="G32" s="10" t="s">
        <v>116</v>
      </c>
      <c r="H32" s="10" t="s">
        <v>114</v>
      </c>
      <c r="I32" s="25">
        <v>3</v>
      </c>
      <c r="J32" s="10" t="s">
        <v>117</v>
      </c>
      <c r="K32" s="12">
        <v>1500</v>
      </c>
      <c r="L32" s="19" t="s">
        <v>111</v>
      </c>
    </row>
    <row r="33" spans="1:12" x14ac:dyDescent="0.2">
      <c r="A33" s="21">
        <v>3</v>
      </c>
      <c r="B33" s="8" t="s">
        <v>212</v>
      </c>
      <c r="C33" s="24">
        <v>42780</v>
      </c>
      <c r="D33" s="10" t="s">
        <v>170</v>
      </c>
      <c r="E33" s="10" t="s">
        <v>171</v>
      </c>
      <c r="F33" s="10" t="s">
        <v>118</v>
      </c>
      <c r="G33" s="10" t="s">
        <v>119</v>
      </c>
      <c r="H33" s="10" t="s">
        <v>120</v>
      </c>
      <c r="I33" s="25">
        <v>1</v>
      </c>
      <c r="J33" s="10" t="s">
        <v>3</v>
      </c>
      <c r="K33" s="12">
        <v>3000</v>
      </c>
      <c r="L33" s="19" t="s">
        <v>111</v>
      </c>
    </row>
    <row r="34" spans="1:12" x14ac:dyDescent="0.2">
      <c r="A34" s="21">
        <v>4</v>
      </c>
      <c r="B34" s="8" t="s">
        <v>212</v>
      </c>
      <c r="C34" s="24">
        <v>42772</v>
      </c>
      <c r="D34" s="10" t="s">
        <v>172</v>
      </c>
      <c r="E34" s="10" t="s">
        <v>173</v>
      </c>
      <c r="F34" s="10" t="s">
        <v>82</v>
      </c>
      <c r="G34" s="10" t="s">
        <v>83</v>
      </c>
      <c r="H34" s="10" t="s">
        <v>121</v>
      </c>
      <c r="I34" s="25">
        <v>2</v>
      </c>
      <c r="J34" s="10" t="s">
        <v>3</v>
      </c>
      <c r="K34" s="12">
        <v>5000</v>
      </c>
      <c r="L34" s="19" t="s">
        <v>111</v>
      </c>
    </row>
    <row r="35" spans="1:12" x14ac:dyDescent="0.2">
      <c r="A35" s="21">
        <v>5</v>
      </c>
      <c r="B35" s="8" t="s">
        <v>212</v>
      </c>
      <c r="C35" s="24">
        <v>42772</v>
      </c>
      <c r="D35" s="10" t="s">
        <v>172</v>
      </c>
      <c r="E35" s="10" t="s">
        <v>173</v>
      </c>
      <c r="F35" s="10" t="s">
        <v>122</v>
      </c>
      <c r="G35" s="10" t="s">
        <v>123</v>
      </c>
      <c r="H35" s="10" t="s">
        <v>121</v>
      </c>
      <c r="I35" s="25">
        <v>2</v>
      </c>
      <c r="J35" s="10" t="s">
        <v>3</v>
      </c>
      <c r="K35" s="12">
        <v>6000</v>
      </c>
      <c r="L35" s="19" t="s">
        <v>111</v>
      </c>
    </row>
    <row r="36" spans="1:12" x14ac:dyDescent="0.2">
      <c r="A36" s="21">
        <v>6</v>
      </c>
      <c r="B36" s="8" t="s">
        <v>212</v>
      </c>
      <c r="C36" s="24">
        <v>42742</v>
      </c>
      <c r="D36" s="10" t="s">
        <v>174</v>
      </c>
      <c r="E36" s="10" t="s">
        <v>175</v>
      </c>
      <c r="F36" s="10" t="s">
        <v>90</v>
      </c>
      <c r="G36" s="10" t="s">
        <v>91</v>
      </c>
      <c r="H36" s="10" t="s">
        <v>124</v>
      </c>
      <c r="I36" s="25">
        <v>1</v>
      </c>
      <c r="J36" s="10" t="s">
        <v>3</v>
      </c>
      <c r="K36" s="12">
        <v>6000</v>
      </c>
      <c r="L36" s="19" t="s">
        <v>111</v>
      </c>
    </row>
    <row r="37" spans="1:12" x14ac:dyDescent="0.2">
      <c r="A37" s="21">
        <v>7</v>
      </c>
      <c r="B37" s="8" t="s">
        <v>212</v>
      </c>
      <c r="C37" s="24">
        <v>42692</v>
      </c>
      <c r="D37" s="10" t="s">
        <v>176</v>
      </c>
      <c r="E37" s="10" t="s">
        <v>177</v>
      </c>
      <c r="F37" s="10" t="s">
        <v>125</v>
      </c>
      <c r="G37" s="10" t="s">
        <v>126</v>
      </c>
      <c r="H37" s="10" t="s">
        <v>127</v>
      </c>
      <c r="I37" s="25">
        <v>100</v>
      </c>
      <c r="J37" s="10" t="s">
        <v>3</v>
      </c>
      <c r="K37" s="12">
        <v>360</v>
      </c>
      <c r="L37" s="19" t="s">
        <v>111</v>
      </c>
    </row>
    <row r="38" spans="1:12" x14ac:dyDescent="0.2">
      <c r="A38" s="21">
        <v>8</v>
      </c>
      <c r="B38" s="8" t="s">
        <v>212</v>
      </c>
      <c r="C38" s="24">
        <v>42692</v>
      </c>
      <c r="D38" s="10" t="s">
        <v>176</v>
      </c>
      <c r="E38" s="10" t="s">
        <v>178</v>
      </c>
      <c r="F38" s="10" t="s">
        <v>128</v>
      </c>
      <c r="G38" s="10" t="s">
        <v>129</v>
      </c>
      <c r="H38" s="10" t="s">
        <v>127</v>
      </c>
      <c r="I38" s="25">
        <v>1</v>
      </c>
      <c r="J38" s="10" t="s">
        <v>3</v>
      </c>
      <c r="K38" s="12">
        <v>386</v>
      </c>
      <c r="L38" s="19" t="s">
        <v>111</v>
      </c>
    </row>
    <row r="39" spans="1:12" x14ac:dyDescent="0.2">
      <c r="A39" s="21">
        <v>9</v>
      </c>
      <c r="B39" s="8" t="s">
        <v>212</v>
      </c>
      <c r="C39" s="24">
        <v>42692</v>
      </c>
      <c r="D39" s="10" t="s">
        <v>176</v>
      </c>
      <c r="E39" s="10" t="s">
        <v>178</v>
      </c>
      <c r="F39" s="10" t="s">
        <v>130</v>
      </c>
      <c r="G39" s="10" t="s">
        <v>131</v>
      </c>
      <c r="H39" s="10" t="s">
        <v>127</v>
      </c>
      <c r="I39" s="25">
        <v>3</v>
      </c>
      <c r="J39" s="10" t="s">
        <v>3</v>
      </c>
      <c r="K39" s="12">
        <v>1590</v>
      </c>
      <c r="L39" s="19" t="s">
        <v>111</v>
      </c>
    </row>
    <row r="40" spans="1:12" x14ac:dyDescent="0.2">
      <c r="A40" s="21">
        <v>10</v>
      </c>
      <c r="B40" s="8" t="s">
        <v>212</v>
      </c>
      <c r="C40" s="24">
        <v>42657</v>
      </c>
      <c r="D40" s="10" t="s">
        <v>179</v>
      </c>
      <c r="E40" s="10" t="s">
        <v>180</v>
      </c>
      <c r="F40" s="10" t="s">
        <v>132</v>
      </c>
      <c r="G40" s="10" t="s">
        <v>133</v>
      </c>
      <c r="H40" s="10" t="s">
        <v>134</v>
      </c>
      <c r="I40" s="25">
        <v>1</v>
      </c>
      <c r="J40" s="10" t="s">
        <v>3</v>
      </c>
      <c r="K40" s="12">
        <v>70000</v>
      </c>
      <c r="L40" s="19" t="s">
        <v>111</v>
      </c>
    </row>
    <row r="41" spans="1:12" x14ac:dyDescent="0.2">
      <c r="A41" s="21">
        <v>11</v>
      </c>
      <c r="B41" s="8" t="s">
        <v>212</v>
      </c>
      <c r="C41" s="24">
        <v>42656</v>
      </c>
      <c r="D41" s="10" t="s">
        <v>181</v>
      </c>
      <c r="E41" s="10" t="s">
        <v>182</v>
      </c>
      <c r="F41" s="10" t="s">
        <v>4</v>
      </c>
      <c r="G41" s="10" t="s">
        <v>5</v>
      </c>
      <c r="H41" s="10" t="s">
        <v>135</v>
      </c>
      <c r="I41" s="25">
        <v>150</v>
      </c>
      <c r="J41" s="10" t="s">
        <v>2</v>
      </c>
      <c r="K41" s="12">
        <v>6000</v>
      </c>
      <c r="L41" s="19" t="s">
        <v>111</v>
      </c>
    </row>
    <row r="42" spans="1:12" x14ac:dyDescent="0.2">
      <c r="A42" s="21">
        <v>12</v>
      </c>
      <c r="B42" s="8" t="s">
        <v>212</v>
      </c>
      <c r="C42" s="24">
        <v>42656</v>
      </c>
      <c r="D42" s="10" t="s">
        <v>183</v>
      </c>
      <c r="E42" s="10" t="s">
        <v>184</v>
      </c>
      <c r="F42" s="10" t="s">
        <v>136</v>
      </c>
      <c r="G42" s="10" t="s">
        <v>137</v>
      </c>
      <c r="H42" s="10" t="s">
        <v>135</v>
      </c>
      <c r="I42" s="25">
        <v>100</v>
      </c>
      <c r="J42" s="10" t="s">
        <v>138</v>
      </c>
      <c r="K42" s="12">
        <v>4000</v>
      </c>
      <c r="L42" s="19" t="s">
        <v>111</v>
      </c>
    </row>
    <row r="43" spans="1:12" x14ac:dyDescent="0.2">
      <c r="A43" s="21">
        <v>13</v>
      </c>
      <c r="B43" s="8" t="s">
        <v>212</v>
      </c>
      <c r="C43" s="24">
        <v>42656</v>
      </c>
      <c r="D43" s="10" t="s">
        <v>185</v>
      </c>
      <c r="E43" s="10" t="s">
        <v>186</v>
      </c>
      <c r="F43" s="10" t="s">
        <v>94</v>
      </c>
      <c r="G43" s="10" t="s">
        <v>95</v>
      </c>
      <c r="H43" s="10" t="s">
        <v>134</v>
      </c>
      <c r="I43" s="25">
        <v>1</v>
      </c>
      <c r="J43" s="10" t="s">
        <v>3</v>
      </c>
      <c r="K43" s="12">
        <v>800000</v>
      </c>
      <c r="L43" s="19" t="s">
        <v>111</v>
      </c>
    </row>
    <row r="44" spans="1:12" x14ac:dyDescent="0.2">
      <c r="A44" s="21">
        <v>14</v>
      </c>
      <c r="B44" s="8" t="s">
        <v>212</v>
      </c>
      <c r="C44" s="24">
        <v>42656</v>
      </c>
      <c r="D44" s="10" t="s">
        <v>187</v>
      </c>
      <c r="E44" s="10" t="s">
        <v>188</v>
      </c>
      <c r="F44" s="10" t="s">
        <v>0</v>
      </c>
      <c r="G44" s="10" t="s">
        <v>139</v>
      </c>
      <c r="H44" s="10" t="s">
        <v>140</v>
      </c>
      <c r="I44" s="25">
        <v>1</v>
      </c>
      <c r="J44" s="10" t="s">
        <v>1</v>
      </c>
      <c r="K44" s="12">
        <v>54650</v>
      </c>
      <c r="L44" s="19" t="s">
        <v>111</v>
      </c>
    </row>
    <row r="45" spans="1:12" x14ac:dyDescent="0.2">
      <c r="A45" s="21">
        <v>15</v>
      </c>
      <c r="B45" s="8" t="s">
        <v>212</v>
      </c>
      <c r="C45" s="24">
        <v>42647</v>
      </c>
      <c r="D45" s="10" t="s">
        <v>189</v>
      </c>
      <c r="E45" s="10" t="s">
        <v>190</v>
      </c>
      <c r="F45" s="10" t="s">
        <v>88</v>
      </c>
      <c r="G45" s="10" t="s">
        <v>89</v>
      </c>
      <c r="H45" s="10" t="s">
        <v>141</v>
      </c>
      <c r="I45" s="25">
        <v>2</v>
      </c>
      <c r="J45" s="10" t="s">
        <v>3</v>
      </c>
      <c r="K45" s="12">
        <v>10000</v>
      </c>
      <c r="L45" s="19" t="s">
        <v>111</v>
      </c>
    </row>
    <row r="46" spans="1:12" x14ac:dyDescent="0.2">
      <c r="A46" s="21">
        <v>16</v>
      </c>
      <c r="B46" s="8" t="s">
        <v>212</v>
      </c>
      <c r="C46" s="24">
        <v>42647</v>
      </c>
      <c r="D46" s="10" t="s">
        <v>191</v>
      </c>
      <c r="E46" s="10" t="s">
        <v>192</v>
      </c>
      <c r="F46" s="10" t="s">
        <v>142</v>
      </c>
      <c r="G46" s="10" t="s">
        <v>143</v>
      </c>
      <c r="H46" s="10" t="s">
        <v>144</v>
      </c>
      <c r="I46" s="25">
        <v>50</v>
      </c>
      <c r="J46" s="10" t="s">
        <v>2</v>
      </c>
      <c r="K46" s="12">
        <v>7500</v>
      </c>
      <c r="L46" s="19" t="s">
        <v>111</v>
      </c>
    </row>
    <row r="47" spans="1:12" x14ac:dyDescent="0.2">
      <c r="A47" s="21">
        <v>17</v>
      </c>
      <c r="B47" s="8" t="s">
        <v>212</v>
      </c>
      <c r="C47" s="24">
        <v>42639</v>
      </c>
      <c r="D47" s="10" t="s">
        <v>193</v>
      </c>
      <c r="E47" s="10" t="s">
        <v>194</v>
      </c>
      <c r="F47" s="10" t="s">
        <v>145</v>
      </c>
      <c r="G47" s="10" t="s">
        <v>146</v>
      </c>
      <c r="H47" s="10" t="s">
        <v>147</v>
      </c>
      <c r="I47" s="25">
        <v>1</v>
      </c>
      <c r="J47" s="10" t="s">
        <v>3</v>
      </c>
      <c r="K47" s="12">
        <v>10000</v>
      </c>
      <c r="L47" s="19" t="s">
        <v>111</v>
      </c>
    </row>
    <row r="48" spans="1:12" x14ac:dyDescent="0.2">
      <c r="A48" s="21">
        <v>18</v>
      </c>
      <c r="B48" s="8" t="s">
        <v>212</v>
      </c>
      <c r="C48" s="24">
        <v>42634</v>
      </c>
      <c r="D48" s="10" t="s">
        <v>195</v>
      </c>
      <c r="E48" s="10" t="s">
        <v>196</v>
      </c>
      <c r="F48" s="10" t="s">
        <v>148</v>
      </c>
      <c r="G48" s="10" t="s">
        <v>149</v>
      </c>
      <c r="H48" s="10" t="s">
        <v>150</v>
      </c>
      <c r="I48" s="25">
        <v>1</v>
      </c>
      <c r="J48" s="10" t="s">
        <v>3</v>
      </c>
      <c r="K48" s="12">
        <v>150000</v>
      </c>
      <c r="L48" s="19" t="s">
        <v>111</v>
      </c>
    </row>
    <row r="49" spans="1:12" x14ac:dyDescent="0.2">
      <c r="A49" s="21">
        <v>19</v>
      </c>
      <c r="B49" s="8" t="s">
        <v>212</v>
      </c>
      <c r="C49" s="24">
        <v>42633</v>
      </c>
      <c r="D49" s="10" t="s">
        <v>197</v>
      </c>
      <c r="E49" s="10" t="s">
        <v>198</v>
      </c>
      <c r="F49" s="10" t="s">
        <v>88</v>
      </c>
      <c r="G49" s="10" t="s">
        <v>89</v>
      </c>
      <c r="H49" s="10" t="s">
        <v>151</v>
      </c>
      <c r="I49" s="25">
        <v>1</v>
      </c>
      <c r="J49" s="10" t="s">
        <v>3</v>
      </c>
      <c r="K49" s="12">
        <v>5000</v>
      </c>
      <c r="L49" s="19" t="s">
        <v>111</v>
      </c>
    </row>
    <row r="50" spans="1:12" x14ac:dyDescent="0.2">
      <c r="A50" s="21">
        <v>20</v>
      </c>
      <c r="B50" s="8" t="s">
        <v>212</v>
      </c>
      <c r="C50" s="24">
        <v>42633</v>
      </c>
      <c r="D50" s="10" t="s">
        <v>199</v>
      </c>
      <c r="E50" s="10" t="s">
        <v>194</v>
      </c>
      <c r="F50" s="10" t="s">
        <v>152</v>
      </c>
      <c r="G50" s="10" t="s">
        <v>153</v>
      </c>
      <c r="H50" s="10" t="s">
        <v>151</v>
      </c>
      <c r="I50" s="25">
        <v>2</v>
      </c>
      <c r="J50" s="10" t="s">
        <v>3</v>
      </c>
      <c r="K50" s="12">
        <v>10000</v>
      </c>
      <c r="L50" s="19" t="s">
        <v>111</v>
      </c>
    </row>
    <row r="51" spans="1:12" x14ac:dyDescent="0.2">
      <c r="A51" s="21">
        <v>21</v>
      </c>
      <c r="B51" s="8" t="s">
        <v>212</v>
      </c>
      <c r="C51" s="24">
        <v>42633</v>
      </c>
      <c r="D51" s="10" t="s">
        <v>199</v>
      </c>
      <c r="E51" s="10" t="s">
        <v>194</v>
      </c>
      <c r="F51" s="10" t="s">
        <v>84</v>
      </c>
      <c r="G51" s="10" t="s">
        <v>85</v>
      </c>
      <c r="H51" s="10" t="s">
        <v>151</v>
      </c>
      <c r="I51" s="25">
        <v>1</v>
      </c>
      <c r="J51" s="10" t="s">
        <v>3</v>
      </c>
      <c r="K51" s="12">
        <v>5000</v>
      </c>
      <c r="L51" s="19" t="s">
        <v>111</v>
      </c>
    </row>
    <row r="52" spans="1:12" x14ac:dyDescent="0.2">
      <c r="A52" s="21">
        <v>22</v>
      </c>
      <c r="B52" s="8" t="s">
        <v>212</v>
      </c>
      <c r="C52" s="24">
        <v>42625</v>
      </c>
      <c r="D52" s="10" t="s">
        <v>197</v>
      </c>
      <c r="E52" s="10" t="s">
        <v>198</v>
      </c>
      <c r="F52" s="10" t="s">
        <v>92</v>
      </c>
      <c r="G52" s="10" t="s">
        <v>93</v>
      </c>
      <c r="H52" s="10" t="s">
        <v>154</v>
      </c>
      <c r="I52" s="25">
        <v>3</v>
      </c>
      <c r="J52" s="10" t="s">
        <v>3</v>
      </c>
      <c r="K52" s="12">
        <v>13500</v>
      </c>
      <c r="L52" s="19" t="s">
        <v>111</v>
      </c>
    </row>
    <row r="53" spans="1:12" x14ac:dyDescent="0.2">
      <c r="A53" s="21">
        <v>23</v>
      </c>
      <c r="B53" s="8" t="s">
        <v>212</v>
      </c>
      <c r="C53" s="24">
        <v>42625</v>
      </c>
      <c r="D53" s="10" t="s">
        <v>200</v>
      </c>
      <c r="E53" s="10" t="s">
        <v>201</v>
      </c>
      <c r="F53" s="10" t="s">
        <v>57</v>
      </c>
      <c r="G53" s="10" t="s">
        <v>58</v>
      </c>
      <c r="H53" s="10" t="s">
        <v>154</v>
      </c>
      <c r="I53" s="25">
        <v>5</v>
      </c>
      <c r="J53" s="10" t="s">
        <v>3</v>
      </c>
      <c r="K53" s="12">
        <v>1400</v>
      </c>
      <c r="L53" s="19" t="s">
        <v>111</v>
      </c>
    </row>
    <row r="54" spans="1:12" x14ac:dyDescent="0.2">
      <c r="A54" s="21">
        <v>24</v>
      </c>
      <c r="B54" s="8" t="s">
        <v>212</v>
      </c>
      <c r="C54" s="24">
        <v>42625</v>
      </c>
      <c r="D54" s="10" t="s">
        <v>200</v>
      </c>
      <c r="E54" s="10" t="s">
        <v>201</v>
      </c>
      <c r="F54" s="10" t="s">
        <v>80</v>
      </c>
      <c r="G54" s="10" t="s">
        <v>81</v>
      </c>
      <c r="H54" s="10" t="s">
        <v>155</v>
      </c>
      <c r="I54" s="25">
        <v>15</v>
      </c>
      <c r="J54" s="10" t="s">
        <v>3</v>
      </c>
      <c r="K54" s="12">
        <v>4500</v>
      </c>
      <c r="L54" s="19" t="s">
        <v>111</v>
      </c>
    </row>
    <row r="55" spans="1:12" x14ac:dyDescent="0.2">
      <c r="A55" s="21">
        <v>25</v>
      </c>
      <c r="B55" s="8" t="s">
        <v>212</v>
      </c>
      <c r="C55" s="24">
        <v>42625</v>
      </c>
      <c r="D55" s="10" t="s">
        <v>202</v>
      </c>
      <c r="E55" s="10" t="s">
        <v>203</v>
      </c>
      <c r="F55" s="10" t="s">
        <v>156</v>
      </c>
      <c r="G55" s="10" t="s">
        <v>157</v>
      </c>
      <c r="H55" s="10" t="s">
        <v>155</v>
      </c>
      <c r="I55" s="25">
        <v>100</v>
      </c>
      <c r="J55" s="10" t="s">
        <v>3</v>
      </c>
      <c r="K55" s="12">
        <v>12500</v>
      </c>
      <c r="L55" s="19" t="s">
        <v>111</v>
      </c>
    </row>
    <row r="56" spans="1:12" x14ac:dyDescent="0.2">
      <c r="A56" s="21">
        <v>26</v>
      </c>
      <c r="B56" s="8" t="s">
        <v>212</v>
      </c>
      <c r="C56" s="24">
        <v>42622</v>
      </c>
      <c r="D56" s="10" t="s">
        <v>204</v>
      </c>
      <c r="E56" s="10" t="s">
        <v>205</v>
      </c>
      <c r="F56" s="10" t="s">
        <v>4</v>
      </c>
      <c r="G56" s="10" t="s">
        <v>5</v>
      </c>
      <c r="H56" s="10" t="s">
        <v>158</v>
      </c>
      <c r="I56" s="25">
        <v>250</v>
      </c>
      <c r="J56" s="10" t="s">
        <v>2</v>
      </c>
      <c r="K56" s="12">
        <v>10000</v>
      </c>
      <c r="L56" s="19" t="s">
        <v>111</v>
      </c>
    </row>
    <row r="57" spans="1:12" x14ac:dyDescent="0.2">
      <c r="A57" s="21">
        <v>27</v>
      </c>
      <c r="B57" s="8" t="s">
        <v>212</v>
      </c>
      <c r="C57" s="24">
        <v>42622</v>
      </c>
      <c r="D57" s="10" t="s">
        <v>204</v>
      </c>
      <c r="E57" s="10" t="s">
        <v>205</v>
      </c>
      <c r="F57" s="10" t="s">
        <v>6</v>
      </c>
      <c r="G57" s="10" t="s">
        <v>7</v>
      </c>
      <c r="H57" s="10" t="s">
        <v>158</v>
      </c>
      <c r="I57" s="25">
        <v>150</v>
      </c>
      <c r="J57" s="10" t="s">
        <v>2</v>
      </c>
      <c r="K57" s="12">
        <v>8250</v>
      </c>
      <c r="L57" s="19" t="s">
        <v>111</v>
      </c>
    </row>
    <row r="58" spans="1:12" x14ac:dyDescent="0.2">
      <c r="A58" s="21">
        <v>28</v>
      </c>
      <c r="B58" s="8" t="s">
        <v>212</v>
      </c>
      <c r="C58" s="24">
        <v>42622</v>
      </c>
      <c r="D58" s="10" t="s">
        <v>206</v>
      </c>
      <c r="E58" s="10" t="s">
        <v>207</v>
      </c>
      <c r="F58" s="10" t="s">
        <v>159</v>
      </c>
      <c r="G58" s="10" t="s">
        <v>160</v>
      </c>
      <c r="H58" s="10" t="s">
        <v>158</v>
      </c>
      <c r="I58" s="25">
        <v>2</v>
      </c>
      <c r="J58" s="10" t="s">
        <v>3</v>
      </c>
      <c r="K58" s="12">
        <v>7000</v>
      </c>
      <c r="L58" s="19" t="s">
        <v>111</v>
      </c>
    </row>
    <row r="59" spans="1:12" x14ac:dyDescent="0.2">
      <c r="A59" s="21">
        <v>29</v>
      </c>
      <c r="B59" s="8" t="s">
        <v>212</v>
      </c>
      <c r="C59" s="24">
        <v>42622</v>
      </c>
      <c r="D59" s="10" t="s">
        <v>206</v>
      </c>
      <c r="E59" s="10" t="s">
        <v>194</v>
      </c>
      <c r="F59" s="10" t="s">
        <v>161</v>
      </c>
      <c r="G59" s="10" t="s">
        <v>162</v>
      </c>
      <c r="H59" s="10" t="s">
        <v>158</v>
      </c>
      <c r="I59" s="25">
        <v>3</v>
      </c>
      <c r="J59" s="10" t="s">
        <v>3</v>
      </c>
      <c r="K59" s="12">
        <v>3000</v>
      </c>
      <c r="L59" s="19" t="s">
        <v>111</v>
      </c>
    </row>
    <row r="60" spans="1:12" x14ac:dyDescent="0.2">
      <c r="A60" s="21">
        <v>30</v>
      </c>
      <c r="B60" s="8" t="s">
        <v>212</v>
      </c>
      <c r="C60" s="24">
        <v>42622</v>
      </c>
      <c r="D60" s="10" t="s">
        <v>208</v>
      </c>
      <c r="E60" s="10" t="s">
        <v>209</v>
      </c>
      <c r="F60" s="10" t="s">
        <v>86</v>
      </c>
      <c r="G60" s="10" t="s">
        <v>87</v>
      </c>
      <c r="H60" s="10" t="s">
        <v>163</v>
      </c>
      <c r="I60" s="25">
        <v>3</v>
      </c>
      <c r="J60" s="10" t="s">
        <v>3</v>
      </c>
      <c r="K60" s="12">
        <v>7500</v>
      </c>
      <c r="L60" s="19" t="s">
        <v>215</v>
      </c>
    </row>
    <row r="61" spans="1:12" x14ac:dyDescent="0.2">
      <c r="A61" s="21">
        <v>31</v>
      </c>
      <c r="B61" s="8" t="s">
        <v>212</v>
      </c>
      <c r="C61" s="24">
        <v>42615</v>
      </c>
      <c r="D61" s="10" t="s">
        <v>210</v>
      </c>
      <c r="E61" s="10" t="s">
        <v>211</v>
      </c>
      <c r="F61" s="10" t="s">
        <v>164</v>
      </c>
      <c r="G61" s="10" t="s">
        <v>165</v>
      </c>
      <c r="H61" s="10" t="s">
        <v>163</v>
      </c>
      <c r="I61" s="25">
        <v>1</v>
      </c>
      <c r="J61" s="10" t="s">
        <v>3</v>
      </c>
      <c r="K61" s="12">
        <v>80000</v>
      </c>
      <c r="L61" s="19" t="s">
        <v>111</v>
      </c>
    </row>
    <row r="62" spans="1:12" ht="38.25" x14ac:dyDescent="0.2">
      <c r="B62"/>
      <c r="C62"/>
      <c r="G62"/>
      <c r="I62"/>
      <c r="J62" s="27" t="s">
        <v>217</v>
      </c>
      <c r="K62" s="28">
        <f>SUM(K31:K61)</f>
        <v>1311636</v>
      </c>
      <c r="L62" s="29" t="s">
        <v>216</v>
      </c>
    </row>
    <row r="63" spans="1:12" x14ac:dyDescent="0.2">
      <c r="B63"/>
      <c r="C63"/>
      <c r="G63"/>
      <c r="I63"/>
    </row>
    <row r="64" spans="1:12" x14ac:dyDescent="0.2">
      <c r="B64"/>
      <c r="C64"/>
      <c r="G64"/>
      <c r="I64"/>
    </row>
    <row r="65" spans="2:9" x14ac:dyDescent="0.2">
      <c r="B65"/>
      <c r="C65"/>
      <c r="G65"/>
      <c r="I65"/>
    </row>
    <row r="66" spans="2:9" x14ac:dyDescent="0.2">
      <c r="B66"/>
      <c r="C66"/>
      <c r="G66"/>
      <c r="I66"/>
    </row>
    <row r="67" spans="2:9" x14ac:dyDescent="0.2">
      <c r="B67"/>
      <c r="C67"/>
      <c r="G67"/>
      <c r="I67"/>
    </row>
    <row r="68" spans="2:9" x14ac:dyDescent="0.2">
      <c r="B68"/>
      <c r="C68"/>
      <c r="G68"/>
      <c r="I68"/>
    </row>
    <row r="69" spans="2:9" x14ac:dyDescent="0.2">
      <c r="B69"/>
      <c r="C69"/>
      <c r="G69"/>
      <c r="I69"/>
    </row>
    <row r="70" spans="2:9" x14ac:dyDescent="0.2">
      <c r="B70"/>
      <c r="C70"/>
      <c r="G70"/>
    </row>
    <row r="71" spans="2:9" x14ac:dyDescent="0.2">
      <c r="B71"/>
      <c r="C71"/>
      <c r="G71"/>
      <c r="I71"/>
    </row>
  </sheetData>
  <mergeCells count="1">
    <mergeCell ref="A2:E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Sagar  Panchal</cp:lastModifiedBy>
  <cp:revision>1</cp:revision>
  <dcterms:modified xsi:type="dcterms:W3CDTF">2017-04-13T10:57:26Z</dcterms:modified>
  <cp:category/>
</cp:coreProperties>
</file>