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8010"/>
  </bookViews>
  <sheets>
    <sheet name="CIP" sheetId="7" r:id="rId1"/>
    <sheet name="CIP-Pravin" sheetId="9" r:id="rId2"/>
    <sheet name="CIP-Surya" sheetId="10" r:id="rId3"/>
    <sheet name="CIP-Coal" sheetId="11" r:id="rId4"/>
    <sheet name="CIP-Mangesh" sheetId="12" r:id="rId5"/>
    <sheet name="Delivery Performance" sheetId="14" r:id="rId6"/>
  </sheets>
  <definedNames>
    <definedName name="_xlnm._FilterDatabase" localSheetId="0" hidden="1">CIP!$B$4:$K$29</definedName>
  </definedNames>
  <calcPr calcId="145621"/>
</workbook>
</file>

<file path=xl/calcChain.xml><?xml version="1.0" encoding="utf-8"?>
<calcChain xmlns="http://schemas.openxmlformats.org/spreadsheetml/2006/main">
  <c r="E56" i="10" l="1"/>
  <c r="E55" i="10"/>
  <c r="G54" i="9" l="1"/>
  <c r="S17" i="11" l="1"/>
  <c r="S28" i="11" l="1"/>
  <c r="P18" i="14" l="1"/>
  <c r="P29" i="14"/>
  <c r="R28" i="14"/>
  <c r="R17" i="14"/>
  <c r="R8" i="14"/>
  <c r="N28" i="14"/>
  <c r="M28" i="14"/>
  <c r="L28" i="14"/>
  <c r="K28" i="14"/>
  <c r="P27" i="14"/>
  <c r="S27" i="14" s="1"/>
  <c r="O27" i="14"/>
  <c r="O26" i="14"/>
  <c r="P26" i="14" s="1"/>
  <c r="S26" i="14" s="1"/>
  <c r="O25" i="14"/>
  <c r="P25" i="14" s="1"/>
  <c r="S25" i="14" s="1"/>
  <c r="O24" i="14"/>
  <c r="P24" i="14" s="1"/>
  <c r="S24" i="14" s="1"/>
  <c r="P17" i="14"/>
  <c r="O17" i="14"/>
  <c r="O16" i="14"/>
  <c r="P16" i="14" s="1"/>
  <c r="S16" i="14" s="1"/>
  <c r="O15" i="14"/>
  <c r="P15" i="14" s="1"/>
  <c r="S15" i="14" s="1"/>
  <c r="O14" i="14"/>
  <c r="P14" i="14" s="1"/>
  <c r="S14" i="14" s="1"/>
  <c r="P13" i="14"/>
  <c r="S13" i="14" s="1"/>
  <c r="O13" i="14"/>
  <c r="P8" i="14"/>
  <c r="O8" i="14"/>
  <c r="G8" i="14"/>
  <c r="H8" i="14" s="1"/>
  <c r="I8" i="14" s="1"/>
  <c r="O7" i="14"/>
  <c r="P7" i="14" s="1"/>
  <c r="S7" i="14" s="1"/>
  <c r="G7" i="14"/>
  <c r="H7" i="14" s="1"/>
  <c r="I7" i="14" s="1"/>
  <c r="P6" i="14"/>
  <c r="S6" i="14" s="1"/>
  <c r="O6" i="14"/>
  <c r="G6" i="14"/>
  <c r="H6" i="14" s="1"/>
  <c r="I6" i="14" s="1"/>
  <c r="O5" i="14"/>
  <c r="P5" i="14" s="1"/>
  <c r="S5" i="14" s="1"/>
  <c r="G5" i="14"/>
  <c r="H5" i="14" s="1"/>
  <c r="I5" i="14" s="1"/>
  <c r="P4" i="14"/>
  <c r="S4" i="14" s="1"/>
  <c r="O4" i="14"/>
  <c r="G4" i="14"/>
  <c r="H4" i="14" s="1"/>
  <c r="I4" i="14" s="1"/>
  <c r="O28" i="14" l="1"/>
  <c r="P28" i="14" s="1"/>
  <c r="J5" i="7" l="1"/>
  <c r="T19" i="11"/>
  <c r="T21" i="11"/>
  <c r="T13" i="11" s="1"/>
  <c r="T20" i="11"/>
  <c r="T22" i="11"/>
  <c r="D35" i="11"/>
  <c r="D34" i="11"/>
  <c r="D33" i="11"/>
  <c r="D32" i="11"/>
  <c r="D31" i="11"/>
  <c r="D30" i="11"/>
  <c r="D29" i="11"/>
  <c r="D27" i="11"/>
  <c r="D26" i="11"/>
  <c r="D25" i="11"/>
  <c r="D24" i="11"/>
  <c r="D23" i="11"/>
  <c r="D22" i="11"/>
  <c r="D21" i="11"/>
  <c r="D20" i="11"/>
  <c r="D19" i="11"/>
  <c r="D18" i="11"/>
  <c r="D17" i="11"/>
  <c r="D28" i="11"/>
  <c r="S13" i="11"/>
  <c r="S22" i="11"/>
  <c r="S21" i="11"/>
  <c r="S20" i="11"/>
  <c r="S19" i="11"/>
  <c r="S18" i="11"/>
  <c r="S27" i="11"/>
  <c r="S26" i="11"/>
  <c r="S25" i="11"/>
  <c r="S24" i="11"/>
  <c r="S23" i="11"/>
  <c r="J27" i="7" l="1"/>
  <c r="K18" i="12"/>
  <c r="L18" i="12" s="1"/>
  <c r="L17" i="12"/>
  <c r="K16" i="12"/>
  <c r="K15" i="12"/>
  <c r="L15" i="12" s="1"/>
  <c r="K14" i="12"/>
  <c r="L14" i="12" s="1"/>
  <c r="K13" i="12"/>
  <c r="L13" i="12" s="1"/>
  <c r="K10" i="12"/>
  <c r="L10" i="12" s="1"/>
  <c r="K9" i="12"/>
  <c r="L9" i="12" s="1"/>
  <c r="K7" i="12"/>
  <c r="J6" i="12"/>
  <c r="K6" i="12" s="1"/>
  <c r="L6" i="12" s="1"/>
  <c r="L19" i="12" s="1"/>
  <c r="L21" i="12" s="1"/>
  <c r="L48" i="11" l="1"/>
  <c r="J48" i="11"/>
  <c r="L47" i="11"/>
  <c r="K47" i="11"/>
  <c r="J47" i="11"/>
  <c r="L46" i="11"/>
  <c r="K46" i="11"/>
  <c r="J46" i="11"/>
  <c r="F46" i="11"/>
  <c r="L45" i="11"/>
  <c r="K45" i="11"/>
  <c r="J45" i="11"/>
  <c r="F45" i="11"/>
  <c r="L44" i="11"/>
  <c r="K44" i="11"/>
  <c r="J44" i="11"/>
  <c r="F44" i="11"/>
  <c r="L43" i="11"/>
  <c r="K43" i="11"/>
  <c r="J43" i="11"/>
  <c r="F43" i="11"/>
  <c r="L42" i="11"/>
  <c r="K42" i="11"/>
  <c r="J42" i="11"/>
  <c r="F42" i="11"/>
  <c r="L41" i="11"/>
  <c r="K41" i="11"/>
  <c r="J41" i="11"/>
  <c r="F41" i="11"/>
  <c r="L40" i="11"/>
  <c r="K40" i="11"/>
  <c r="J40" i="11"/>
  <c r="F40" i="11"/>
  <c r="L39" i="11"/>
  <c r="K39" i="11"/>
  <c r="J39" i="11"/>
  <c r="F39" i="11"/>
  <c r="L38" i="11"/>
  <c r="K38" i="11"/>
  <c r="J38" i="11"/>
  <c r="F38" i="11"/>
  <c r="L37" i="11"/>
  <c r="K37" i="11"/>
  <c r="J37" i="11"/>
  <c r="F37" i="11"/>
  <c r="N36" i="11"/>
  <c r="L36" i="11"/>
  <c r="K36" i="11"/>
  <c r="J36" i="11"/>
  <c r="F36" i="11"/>
  <c r="N35" i="11"/>
  <c r="S35" i="11" s="1"/>
  <c r="L35" i="11"/>
  <c r="K35" i="11"/>
  <c r="J35" i="11"/>
  <c r="F35" i="11"/>
  <c r="G35" i="11" s="1"/>
  <c r="N34" i="11"/>
  <c r="S34" i="11" s="1"/>
  <c r="L34" i="11"/>
  <c r="M32" i="11" s="1"/>
  <c r="P32" i="11" s="1"/>
  <c r="K34" i="11"/>
  <c r="J34" i="11"/>
  <c r="F34" i="11"/>
  <c r="S33" i="11"/>
  <c r="N33" i="11"/>
  <c r="L33" i="11"/>
  <c r="M31" i="11" s="1"/>
  <c r="P31" i="11" s="1"/>
  <c r="K33" i="11"/>
  <c r="J33" i="11"/>
  <c r="H33" i="11"/>
  <c r="F33" i="11"/>
  <c r="N32" i="11"/>
  <c r="S32" i="11" s="1"/>
  <c r="L32" i="11"/>
  <c r="M30" i="11" s="1"/>
  <c r="P30" i="11" s="1"/>
  <c r="K32" i="11"/>
  <c r="J32" i="11"/>
  <c r="H32" i="11"/>
  <c r="F32" i="11"/>
  <c r="S31" i="11"/>
  <c r="N31" i="11"/>
  <c r="L31" i="11"/>
  <c r="K31" i="11"/>
  <c r="J31" i="11"/>
  <c r="H31" i="11"/>
  <c r="F31" i="11"/>
  <c r="N30" i="11"/>
  <c r="S30" i="11" s="1"/>
  <c r="L30" i="11"/>
  <c r="M29" i="11" s="1"/>
  <c r="P29" i="11" s="1"/>
  <c r="K30" i="11"/>
  <c r="J30" i="11"/>
  <c r="H30" i="11"/>
  <c r="F30" i="11"/>
  <c r="S29" i="11"/>
  <c r="N29" i="11"/>
  <c r="L29" i="11"/>
  <c r="M28" i="11" s="1"/>
  <c r="P28" i="11" s="1"/>
  <c r="K29" i="11"/>
  <c r="J29" i="11"/>
  <c r="H29" i="11"/>
  <c r="F29" i="11"/>
  <c r="N28" i="11"/>
  <c r="L28" i="11"/>
  <c r="M27" i="11" s="1"/>
  <c r="P27" i="11" s="1"/>
  <c r="K28" i="11"/>
  <c r="J28" i="11"/>
  <c r="H28" i="11"/>
  <c r="F28" i="11"/>
  <c r="N27" i="11"/>
  <c r="L27" i="11"/>
  <c r="N26" i="11" s="1"/>
  <c r="K27" i="11"/>
  <c r="J27" i="11"/>
  <c r="H27" i="11"/>
  <c r="F27" i="11"/>
  <c r="L26" i="11"/>
  <c r="K26" i="11"/>
  <c r="J26" i="11"/>
  <c r="H26" i="11"/>
  <c r="F26" i="11"/>
  <c r="N25" i="11"/>
  <c r="M25" i="11"/>
  <c r="P25" i="11" s="1"/>
  <c r="K25" i="11"/>
  <c r="J25" i="11"/>
  <c r="H25" i="11"/>
  <c r="F25" i="11"/>
  <c r="R24" i="11"/>
  <c r="P24" i="11"/>
  <c r="N24" i="11"/>
  <c r="M24" i="11"/>
  <c r="K24" i="11"/>
  <c r="J24" i="11"/>
  <c r="H24" i="11"/>
  <c r="F24" i="11"/>
  <c r="N23" i="11"/>
  <c r="M23" i="11"/>
  <c r="P23" i="11" s="1"/>
  <c r="K23" i="11"/>
  <c r="J23" i="11"/>
  <c r="H23" i="11"/>
  <c r="F23" i="11"/>
  <c r="N22" i="11"/>
  <c r="M22" i="11"/>
  <c r="P22" i="11" s="1"/>
  <c r="K22" i="11"/>
  <c r="J22" i="11"/>
  <c r="H22" i="11"/>
  <c r="F22" i="11"/>
  <c r="P21" i="11"/>
  <c r="N21" i="11"/>
  <c r="M21" i="11"/>
  <c r="K21" i="11"/>
  <c r="J21" i="11"/>
  <c r="H21" i="11"/>
  <c r="F21" i="11"/>
  <c r="P20" i="11"/>
  <c r="N20" i="11"/>
  <c r="M20" i="11"/>
  <c r="K20" i="11"/>
  <c r="J20" i="11"/>
  <c r="H20" i="11"/>
  <c r="F20" i="11"/>
  <c r="N19" i="11"/>
  <c r="M19" i="11"/>
  <c r="P19" i="11" s="1"/>
  <c r="K19" i="11"/>
  <c r="J19" i="11"/>
  <c r="H19" i="11"/>
  <c r="F19" i="11"/>
  <c r="N18" i="11"/>
  <c r="M18" i="11"/>
  <c r="P18" i="11" s="1"/>
  <c r="K18" i="11"/>
  <c r="J18" i="11"/>
  <c r="H18" i="11"/>
  <c r="F18" i="11"/>
  <c r="P17" i="11"/>
  <c r="N17" i="11"/>
  <c r="M17" i="11"/>
  <c r="K17" i="11"/>
  <c r="J17" i="11"/>
  <c r="H17" i="11"/>
  <c r="F17" i="11"/>
  <c r="E5" i="11"/>
  <c r="E8" i="11" s="1"/>
  <c r="E4" i="11"/>
  <c r="E3" i="11"/>
  <c r="G51" i="10"/>
  <c r="G50" i="10"/>
  <c r="G49" i="10"/>
  <c r="G47" i="10"/>
  <c r="G46" i="10"/>
  <c r="G45" i="10"/>
  <c r="G44" i="10"/>
  <c r="G43" i="10"/>
  <c r="G42" i="10"/>
  <c r="G41" i="10"/>
  <c r="G40" i="10"/>
  <c r="G39" i="10"/>
  <c r="G38" i="10"/>
  <c r="G37" i="10"/>
  <c r="G36" i="10"/>
  <c r="G34" i="10"/>
  <c r="G33" i="10"/>
  <c r="G32" i="10"/>
  <c r="G31" i="10"/>
  <c r="E30" i="10"/>
  <c r="G30" i="10" s="1"/>
  <c r="G28" i="10"/>
  <c r="G27" i="10"/>
  <c r="G26" i="10"/>
  <c r="G25" i="10"/>
  <c r="G24" i="10"/>
  <c r="G23" i="10"/>
  <c r="G22" i="10"/>
  <c r="G21" i="10"/>
  <c r="G20" i="10"/>
  <c r="G19" i="10"/>
  <c r="G18" i="10"/>
  <c r="G17" i="10"/>
  <c r="G16" i="10"/>
  <c r="G15" i="10"/>
  <c r="C54" i="10" l="1"/>
  <c r="C56" i="10" s="1"/>
  <c r="G52" i="10"/>
  <c r="E54" i="10" s="1"/>
  <c r="G36" i="11"/>
  <c r="H34" i="11"/>
  <c r="M33" i="11"/>
  <c r="P33" i="11" s="1"/>
  <c r="R26" i="11"/>
  <c r="E6" i="11"/>
  <c r="E7" i="11" s="1"/>
  <c r="E9" i="11" s="1"/>
  <c r="R23" i="11"/>
  <c r="R25" i="11"/>
  <c r="M26" i="11"/>
  <c r="P26" i="11" s="1"/>
  <c r="J26" i="7" l="1"/>
  <c r="H36" i="11"/>
  <c r="G37" i="11"/>
  <c r="M34" i="11"/>
  <c r="P34" i="11" s="1"/>
  <c r="H35" i="11"/>
  <c r="M35" i="11" l="1"/>
  <c r="P35" i="11" s="1"/>
  <c r="G38" i="11"/>
  <c r="H37" i="11" s="1"/>
  <c r="M36" i="11" l="1"/>
  <c r="G39" i="11"/>
  <c r="H38" i="11"/>
  <c r="G40" i="11" l="1"/>
  <c r="H39" i="11" s="1"/>
  <c r="G41" i="11" l="1"/>
  <c r="H40" i="11" s="1"/>
  <c r="G42" i="11" l="1"/>
  <c r="H41" i="11" s="1"/>
  <c r="G43" i="11" l="1"/>
  <c r="G44" i="11" l="1"/>
  <c r="H43" i="11" s="1"/>
  <c r="H42" i="11"/>
  <c r="G45" i="11" l="1"/>
  <c r="G46" i="11" l="1"/>
  <c r="H45" i="11" s="1"/>
  <c r="H44" i="11"/>
  <c r="G47" i="11" l="1"/>
  <c r="H47" i="11" s="1"/>
  <c r="H46" i="11" l="1"/>
  <c r="G51" i="9" l="1"/>
  <c r="H48" i="9"/>
  <c r="G48" i="9"/>
  <c r="H47" i="9"/>
  <c r="G47" i="9"/>
  <c r="G33" i="9"/>
  <c r="H32" i="9"/>
  <c r="G32" i="9"/>
  <c r="H17" i="9"/>
  <c r="G17" i="9"/>
  <c r="J28" i="7" l="1"/>
  <c r="J25" i="7" l="1"/>
  <c r="J24" i="7"/>
  <c r="J23" i="7"/>
  <c r="J22" i="7"/>
  <c r="J9" i="7"/>
  <c r="I8" i="7"/>
  <c r="J8" i="7" s="1"/>
  <c r="J6" i="7"/>
  <c r="J7" i="7"/>
  <c r="J21" i="7"/>
  <c r="J20" i="7"/>
  <c r="J18" i="7"/>
  <c r="J17" i="7"/>
  <c r="J15" i="7"/>
  <c r="J12" i="7"/>
  <c r="J19" i="7" l="1"/>
  <c r="J13" i="7" l="1"/>
  <c r="J10" i="7"/>
  <c r="J16" i="7"/>
  <c r="J11" i="7"/>
  <c r="I11" i="7" s="1"/>
  <c r="I5" i="7"/>
  <c r="J29" i="7" l="1"/>
</calcChain>
</file>

<file path=xl/comments1.xml><?xml version="1.0" encoding="utf-8"?>
<comments xmlns="http://schemas.openxmlformats.org/spreadsheetml/2006/main">
  <authors>
    <author>Author</author>
  </authors>
  <commentList>
    <comment ref="P20" authorId="0">
      <text>
        <r>
          <rPr>
            <b/>
            <sz val="9"/>
            <color indexed="81"/>
            <rFont val="Tahoma"/>
            <family val="2"/>
          </rPr>
          <t>The price is finali</t>
        </r>
      </text>
    </comment>
    <comment ref="P21" authorId="0">
      <text>
        <r>
          <rPr>
            <b/>
            <sz val="9"/>
            <color indexed="81"/>
            <rFont val="Tahoma"/>
            <family val="2"/>
          </rPr>
          <t>The price is finali</t>
        </r>
      </text>
    </comment>
    <comment ref="P22" authorId="0">
      <text>
        <r>
          <rPr>
            <b/>
            <sz val="9"/>
            <color indexed="81"/>
            <rFont val="Tahoma"/>
            <family val="2"/>
          </rPr>
          <t>The price is finali</t>
        </r>
      </text>
    </comment>
    <comment ref="P23" authorId="0">
      <text>
        <r>
          <rPr>
            <b/>
            <sz val="9"/>
            <color indexed="81"/>
            <rFont val="Tahoma"/>
            <family val="2"/>
          </rPr>
          <t>The price is finali</t>
        </r>
      </text>
    </comment>
    <comment ref="P24" authorId="0">
      <text>
        <r>
          <rPr>
            <b/>
            <sz val="9"/>
            <color indexed="81"/>
            <rFont val="Tahoma"/>
            <family val="2"/>
          </rPr>
          <t>The price is finali</t>
        </r>
      </text>
    </comment>
    <comment ref="P25" authorId="0">
      <text>
        <r>
          <rPr>
            <b/>
            <sz val="9"/>
            <color indexed="81"/>
            <rFont val="Tahoma"/>
            <family val="2"/>
          </rPr>
          <t>The price is finali</t>
        </r>
      </text>
    </comment>
    <comment ref="P26" authorId="0">
      <text>
        <r>
          <rPr>
            <b/>
            <sz val="9"/>
            <color indexed="81"/>
            <rFont val="Tahoma"/>
            <family val="2"/>
          </rPr>
          <t>The price is finali</t>
        </r>
      </text>
    </comment>
    <comment ref="P27" authorId="0">
      <text>
        <r>
          <rPr>
            <b/>
            <sz val="9"/>
            <color indexed="81"/>
            <rFont val="Tahoma"/>
            <family val="2"/>
          </rPr>
          <t>The price is finali</t>
        </r>
      </text>
    </comment>
    <comment ref="P28" authorId="0">
      <text>
        <r>
          <rPr>
            <b/>
            <sz val="9"/>
            <color indexed="81"/>
            <rFont val="Tahoma"/>
            <family val="2"/>
          </rPr>
          <t>The price is finali</t>
        </r>
      </text>
    </comment>
    <comment ref="P29" authorId="0">
      <text>
        <r>
          <rPr>
            <b/>
            <sz val="9"/>
            <color indexed="81"/>
            <rFont val="Tahoma"/>
            <family val="2"/>
          </rPr>
          <t>The price is finali</t>
        </r>
      </text>
    </comment>
    <comment ref="P30" authorId="0">
      <text>
        <r>
          <rPr>
            <b/>
            <sz val="9"/>
            <color indexed="81"/>
            <rFont val="Tahoma"/>
            <family val="2"/>
          </rPr>
          <t>The price is finali</t>
        </r>
      </text>
    </comment>
    <comment ref="P31" authorId="0">
      <text>
        <r>
          <rPr>
            <b/>
            <sz val="9"/>
            <color indexed="81"/>
            <rFont val="Tahoma"/>
            <family val="2"/>
          </rPr>
          <t>The price is finali</t>
        </r>
      </text>
    </comment>
  </commentList>
</comments>
</file>

<file path=xl/sharedStrings.xml><?xml version="1.0" encoding="utf-8"?>
<sst xmlns="http://schemas.openxmlformats.org/spreadsheetml/2006/main" count="854" uniqueCount="591">
  <si>
    <t/>
  </si>
  <si>
    <t>E07</t>
  </si>
  <si>
    <t>E14</t>
  </si>
  <si>
    <t>NOS</t>
  </si>
  <si>
    <t>E13</t>
  </si>
  <si>
    <t>AU</t>
  </si>
  <si>
    <t>Cable removal &amp; installation for Perroni</t>
  </si>
  <si>
    <t>M</t>
  </si>
  <si>
    <t>E06</t>
  </si>
  <si>
    <t>L</t>
  </si>
  <si>
    <t>LIQUID NITROGEN</t>
  </si>
  <si>
    <t>NA</t>
  </si>
  <si>
    <t>SET</t>
  </si>
  <si>
    <t>MOTOR 15 KW 4 POLE  FLANGE MOUNTED</t>
  </si>
  <si>
    <t>BLBD WITH 4 LAYER WITHOUT METAL BAR</t>
  </si>
  <si>
    <t>DRUM HDPE  210 LTRS (8.0 KG)</t>
  </si>
  <si>
    <t>POLY BAG 5 LAYER 25 KG PLAIN</t>
  </si>
  <si>
    <t>USB HARDDISK</t>
  </si>
  <si>
    <t>CLEAN ROOM VALIDATION GMPCLASS 1K APRIL</t>
  </si>
  <si>
    <t>Environment Monitoring</t>
  </si>
  <si>
    <t>TRANSFORMER INSULATING OIL</t>
  </si>
  <si>
    <t>SPRINKLER 68 DEG. C</t>
  </si>
  <si>
    <t>MT</t>
  </si>
  <si>
    <t>LED FLOOD LIGHT FITTING 60W 230V</t>
  </si>
  <si>
    <t>PRESSURE GAUGE 0-10 BAR 1/2" NPT</t>
  </si>
  <si>
    <t>ELECTRONIC AUTO DRAIN VALVE TIMER BASED</t>
  </si>
  <si>
    <t>LED STREET LIGHT FITTING 70W 230V</t>
  </si>
  <si>
    <t>LED TUBE ROD,20W,4FT LONG</t>
  </si>
  <si>
    <t>ELE FORKLIFT BATTERY DISCHARGE INDICATOR</t>
  </si>
  <si>
    <t>TEMPERATURE MULTI SCANNER 16CHANNEL</t>
  </si>
  <si>
    <t>INSULATING RUBBERMAT 2MMTHK SIZE 1X5M LT</t>
  </si>
  <si>
    <t>PUMP M&amp;P 8-10-BLE IMPELLER</t>
  </si>
  <si>
    <t>PRV,DOWNSTREAM VALVE,HYDROGEN,SIZE 1.5"</t>
  </si>
  <si>
    <t>BATTERY 12V 7AH SMF</t>
  </si>
  <si>
    <t>DIGITAL ENERGY SAVER AIRTRON FOR 2TR AC</t>
  </si>
  <si>
    <t>PRV,PILOT VALVE ASSEMBLY D53,NIRMAL</t>
  </si>
  <si>
    <t>EARTHING COPPER STRIP TINPLATED 50 X 1MM</t>
  </si>
  <si>
    <t>CABLE TRAY GI PERFORATED TYPE 50X25X2MM</t>
  </si>
  <si>
    <t>SWITCH MAKE ANCHOR ROMA 6A CAT NO.21011</t>
  </si>
  <si>
    <t>VORTEX FT,HIGH TEMPERATURE SENSOR</t>
  </si>
  <si>
    <t>STRAINER Y-TYPE CS FE 4" 150#</t>
  </si>
  <si>
    <t>OIL LUBRICANT SHELL OMALA S4GX 320</t>
  </si>
  <si>
    <t>Analytical Balance</t>
  </si>
  <si>
    <t>Hard disk</t>
  </si>
  <si>
    <t>PT-100 RTD WITH THERMOWELL</t>
  </si>
  <si>
    <t>TEMPERATUE SENSOR K TYPE</t>
  </si>
  <si>
    <t>1 Mbps link at Sewree -(Oct'16 - Dec'16)</t>
  </si>
  <si>
    <t>HYDRAULIC HAND PALLET TRUCK</t>
  </si>
  <si>
    <t>LUBRICATOR WITH METAL BOWL,SIZE: 1/2"</t>
  </si>
  <si>
    <t>UV PHOTOCELL LANDIS GYR QRA2</t>
  </si>
  <si>
    <t>CABLE 1CX1.5MM2 1.1KV CU UNARM PVC</t>
  </si>
  <si>
    <t>Hydra supply for 14Ton</t>
  </si>
  <si>
    <t>OIL LUBRICANT MOBIL DTE 846</t>
  </si>
  <si>
    <t>LEVEL SWITCH - VIBRATING FORK</t>
  </si>
  <si>
    <t>BATTERY 12V 26AH</t>
  </si>
  <si>
    <t>Providing and erecting Monsoon shed sion</t>
  </si>
  <si>
    <t>GREASE SHELL ALVANIA RL3</t>
  </si>
  <si>
    <t>PRV SPARE KIT,MODEL:D53/SERIES</t>
  </si>
  <si>
    <t>Supply of Hydra with operator 14ton</t>
  </si>
  <si>
    <t>Inst Erection for Beads Project</t>
  </si>
  <si>
    <t>Poly-Glycerol Pilot Plant Study</t>
  </si>
  <si>
    <t>3000031333</t>
  </si>
  <si>
    <t>MERCURY , 99% MIN</t>
  </si>
  <si>
    <t>Garden Maint. charges at taloja 2016-17</t>
  </si>
  <si>
    <t>Heavy metal,PAH,Pesticide,PCB,Aflatoxin</t>
  </si>
  <si>
    <t>3000030812</t>
  </si>
  <si>
    <t>Oil bath with Magnetic stirr for Lab</t>
  </si>
  <si>
    <t>VITAVON WM 80:20 NOODLES BNo.B041600174</t>
  </si>
  <si>
    <t>AMC OF METTLER TOLEDO ANALYTICAL BALANCE</t>
  </si>
  <si>
    <t>AMC METTLER BALANCE (1.4.16 to 31.3. 17)</t>
  </si>
  <si>
    <t>VVF-ARD-041601</t>
  </si>
  <si>
    <t>Supply of Hydra with operator 12ton</t>
  </si>
  <si>
    <t>HeavyMetal ,PAH,Pesticide,PCB,Aflatoxin</t>
  </si>
  <si>
    <t>SERVICES FOR WALKI TALKI SERVICES</t>
  </si>
  <si>
    <t>Item</t>
  </si>
  <si>
    <t>Purchasing Group</t>
  </si>
  <si>
    <t>Grand Total</t>
  </si>
  <si>
    <t>Total</t>
  </si>
  <si>
    <t>Vendor Code</t>
  </si>
  <si>
    <t>Coal</t>
  </si>
  <si>
    <t>(Value in Rs. Lakhs)</t>
  </si>
  <si>
    <t>Sr No</t>
  </si>
  <si>
    <t xml:space="preserve">Vendor </t>
  </si>
  <si>
    <t>Implementation Date</t>
  </si>
  <si>
    <t>Repeatative</t>
  </si>
  <si>
    <t>Remark</t>
  </si>
  <si>
    <t>Maheshwari Fuel Chem</t>
  </si>
  <si>
    <t>Yes</t>
  </si>
  <si>
    <t>Please refer Mr. Surya working for details.</t>
  </si>
  <si>
    <t>Ni Catalyst - Local</t>
  </si>
  <si>
    <t>Suhans</t>
  </si>
  <si>
    <t>Oct-15 (Trial), Jan-16 (Bulk)</t>
  </si>
  <si>
    <t>Cost Improvement of Rs. 150 per MT by way of alternate vendor M/s Suhans in place of M/s Johnson Matthey, Two trial orders were given in Oct-15 &amp; Nov-15, after than since Jan-16 we are procuring 3 MT per month. So we will consider saving up to Nov-2016.</t>
  </si>
  <si>
    <t>Increasing containerization by  4.5 MT for 50 Pound bag</t>
  </si>
  <si>
    <t xml:space="preserve">Saving of RS. 1365 per MT on account of better containerization, total quantity dispatched during </t>
  </si>
  <si>
    <t>Reuse of Heating Pad and Metal Bars</t>
  </si>
  <si>
    <t>Bulk Liquid</t>
  </si>
  <si>
    <t xml:space="preserve">Palletization </t>
  </si>
  <si>
    <t>Godi Seal</t>
  </si>
  <si>
    <t>Cost improvement done from 18% to 21% (Except Jumbo bag in which CIP is 5%), so CIP is being considered @ 15% of Basic PO value, CIP for March-15 also included in this year CIP as last year it was not considered.</t>
  </si>
  <si>
    <t>Nickel Catalyst for Reformer (Katalco-46&amp;57)</t>
  </si>
  <si>
    <t>Johnson Matthey - India</t>
  </si>
  <si>
    <t>No</t>
  </si>
  <si>
    <t>Cost Improvement of INR 315 Per Ltr from last purchase (PO No.: 4500058739 dated 22-Nov-2010) after factoring Nickel LME price reduction</t>
  </si>
  <si>
    <t>HMHDPE Drum - Alternate vendor - E-con</t>
  </si>
  <si>
    <t>E-con, Time Technoplast, Dimple</t>
  </si>
  <si>
    <t>Average Cost Improvement per Unit Rs. 45,</t>
  </si>
  <si>
    <t>Mech Seal Spares</t>
  </si>
  <si>
    <t>Eagle Burgmann India P Ltd</t>
  </si>
  <si>
    <t>Lot</t>
  </si>
  <si>
    <t>Discontinue use of 2 ply on pallet base</t>
  </si>
  <si>
    <t>Balance CIP - Pravin</t>
  </si>
  <si>
    <t>Plesae refer CIP-Pravin for details</t>
  </si>
  <si>
    <t>Polybag</t>
  </si>
  <si>
    <t>Supreme Industries</t>
  </si>
  <si>
    <t>Jan-16</t>
  </si>
  <si>
    <t>Reduced Margine by Rs. 4.46 per bag</t>
  </si>
  <si>
    <t>Balance CIP - Surya</t>
  </si>
  <si>
    <t>Plesae refer CIP-Surya for details</t>
  </si>
  <si>
    <t>Zero hour contract + Service Contract</t>
  </si>
  <si>
    <t>Turbomach</t>
  </si>
  <si>
    <t>Recovery of old excess payment</t>
  </si>
  <si>
    <t>HMHDPE Drum - Design changed from 9.4 kg to 8.5 kg</t>
  </si>
  <si>
    <t xml:space="preserve">Cost Improvement per unit Rs. 108, </t>
  </si>
  <si>
    <t>Balance CIP - Mangesh</t>
  </si>
  <si>
    <t>Plesae refer CIP-Mangesh for details</t>
  </si>
  <si>
    <t>Paper Bag length reduction by 3" (Mat code: 1002477)</t>
  </si>
  <si>
    <t>Elson, Vraj, TPI</t>
  </si>
  <si>
    <t>Cost Improvement per unit Rs. 1.5,</t>
  </si>
  <si>
    <t>Reduce thickness of stretch wrap film to 15 micron from 23</t>
  </si>
  <si>
    <t>Consumption saving of 30% (Reference Mr. Marathe Email dated 26 Feb 2016)</t>
  </si>
  <si>
    <t>Avoidance of Polybag-Other than Time Techno</t>
  </si>
  <si>
    <t>Dimple &amp; E-con</t>
  </si>
  <si>
    <t>Cost Improvement per unit Rs. 15,</t>
  </si>
  <si>
    <t>Avoidance of Polybag-Time Techno</t>
  </si>
  <si>
    <t>Time Techno</t>
  </si>
  <si>
    <t>Poly bag length reduced by 3" (Mat code: 1002478)</t>
  </si>
  <si>
    <t>Cost Improvement per unit Rs. 2,</t>
  </si>
  <si>
    <t>Reduced GSM of 2 ply</t>
  </si>
  <si>
    <t>Saving of Rs. 2.5 per kg on account of reduction in GSM</t>
  </si>
  <si>
    <t>Hydrated Lime</t>
  </si>
  <si>
    <t>Ankur Minerals</t>
  </si>
  <si>
    <t>Alternate Manufacturer, rate reduced to 6.8 from 8 per kg</t>
  </si>
  <si>
    <t>HDPE bag length reduced by 6"</t>
  </si>
  <si>
    <t>Vraj</t>
  </si>
  <si>
    <t>May-Jul-15</t>
  </si>
  <si>
    <t>Cost Improvement per unit Rs. 4,</t>
  </si>
  <si>
    <t>Copper Catalyst</t>
  </si>
  <si>
    <t>BASF</t>
  </si>
  <si>
    <t>Cost Improvement of USD 1.5 per kg from last purchase (PO No.: 3100000372 dated Jan-15), 18 MT out of total quantity of 48 MT is scheduled for delivery in CY-2017 so vendor has kept 0.50 USD per kg higher than current CY2016.</t>
  </si>
  <si>
    <t>Toal</t>
  </si>
  <si>
    <t>Cost Improvement Report - Engineering Purchase - FY 2016-17</t>
  </si>
  <si>
    <t>Qty Received (FY 16-17)</t>
  </si>
  <si>
    <t>Finalised Rate Contract effective from March-15 @ 10% lower than last purchase rates, CIP is worked out @ 10% of PO value from 30-March-2015 (PO No.: 3000029439, PO value 25.11 Lakhs + 47.87 Apr to Feb Delivered Value), CIP to be considered up to Feb-2017 only.</t>
  </si>
  <si>
    <r>
      <t xml:space="preserve">Cost Improvement per unit Rs. 10000, Quantity considered from Apr-17 to Feb-17, </t>
    </r>
    <r>
      <rPr>
        <sz val="9"/>
        <color rgb="FFFF0000"/>
        <rFont val="Calibri"/>
        <family val="2"/>
        <scheme val="minor"/>
      </rPr>
      <t>Directly procured by Third party is not included in the quantity.</t>
    </r>
  </si>
  <si>
    <t>Till Sep-16, Rs. 6.25 Lakhs worth 2 ply rolls are received which is approximately Rs. 1.0 lakh worth consumption per month. This consumption was worth Rs. 2.0 lakhs per month before this initiative. Accordingly saving of Rs. 1.0 lakh per month is achieved. Considering saving benefit up to Aug-16, this year saving works out to be Rs. 5.0 lakhs.</t>
  </si>
  <si>
    <t>CIP Value (In Lakhs)</t>
  </si>
  <si>
    <t>UOM</t>
  </si>
  <si>
    <t>Kgs</t>
  </si>
  <si>
    <t>Nos</t>
  </si>
  <si>
    <t>Ltrs</t>
  </si>
  <si>
    <t>CIP Rate (In INR)</t>
  </si>
  <si>
    <t>Purchaser</t>
  </si>
  <si>
    <t>applicable Time Period</t>
  </si>
  <si>
    <t>considered time period</t>
  </si>
  <si>
    <t>Vendor/Supplier</t>
  </si>
  <si>
    <t>Qty Purchased (UOM)</t>
  </si>
  <si>
    <t>savings (in Rs)</t>
  </si>
  <si>
    <t>QCS,Cost Estimation sheet ,quotations Back-up data attached along with PO in SAP</t>
  </si>
  <si>
    <t>Remarks</t>
  </si>
  <si>
    <t>Pravin Nerkar</t>
  </si>
  <si>
    <t>Uni Klinger Ltd</t>
  </si>
  <si>
    <t>1030 Nos.</t>
  </si>
  <si>
    <t>Rs.21111/-40%  Cost Saving Compared to Rathi make shims/ VVF Technical User PR requirement was Rathi make Model RS-1,2,3,4 shims,Rathi make Authorised Dealer M/S.Siddhart Trading Co. initially quoted Huge price offer Quoted total -7,01000 offered 25% final discount total was 525750, Hence develop well established Shims Manufacturer M/S Ekta Enterprises final price offer Total =Rs.31464 After placing Order to New Vendor, M/S.Siddharth Trading Co. submit us Corrected Final price offer of Rs.52575/-</t>
  </si>
  <si>
    <t>Aarkay Sons</t>
  </si>
  <si>
    <t>Delta Engineers</t>
  </si>
  <si>
    <t>Manual CS/SS Valves &amp; Strainers ,Sight glass</t>
  </si>
  <si>
    <t>FY- 2016-2017</t>
  </si>
  <si>
    <t>3000029982 Dated 19.04.2016</t>
  </si>
  <si>
    <t>Rs 7000/-Cost improvement achieved by developing New Vendor M/S Delta Engineers at payment term-30 days for Valves/Strainers against Premier Valves/Mewada engg/Scientific devices</t>
  </si>
  <si>
    <t>Neha Enterprises</t>
  </si>
  <si>
    <t>1000 gm</t>
  </si>
  <si>
    <t>3000031099 dated 30.05.2015</t>
  </si>
  <si>
    <t>Rs.7500/- Cost Saving achieved by negotiating yr.2014 last PO rate Rs.8.5 /Gram compared to Yr.2015 LPO rate Rs.16/Gram of M/S Matangi trading Corporation</t>
  </si>
  <si>
    <t>3000031826 Dated 20.06.2016</t>
  </si>
  <si>
    <t>Rs 24900/-Cost improvement achieved by developing New Vendor M/S Delta Engineers at payment term-30 days for Valves/Strainers against Premier Valves/Mewada engg/Scientific devices</t>
  </si>
  <si>
    <t>M/S.Renu engineering Industries,Bilimora,</t>
  </si>
  <si>
    <t>SS304 Steam Seperator-2 Nos</t>
  </si>
  <si>
    <t>226.5/KG</t>
  </si>
  <si>
    <t>PO-3000030827  dated 23.05.2016</t>
  </si>
  <si>
    <t>Rs.25000/_ savings by developing alternative vendor resource M/S.Renu engineering Industries,Bilimora,Navsari for steam separators- 2nos.</t>
  </si>
  <si>
    <t>M/S.Heat Cool Fin Industries</t>
  </si>
  <si>
    <t>E-16A -Tube Bundle Repairing</t>
  </si>
  <si>
    <t>34.1/KG</t>
  </si>
  <si>
    <t>3000031914 Dated 23.06.16</t>
  </si>
  <si>
    <t>Rs 95500/-Cost improvement achieved compared to LPO rate Rs.165.64 /KG of M/S.Kinam Engineering(LPO-3000020025 dated 05.05.15) ,by developing New Vendor M/S Heat Cool Fin Industries,Negotiated price for E-16A Tube bundle Assly. is RS.131.54/KG by using Mtrl.cost Estimation as a the baseline.</t>
  </si>
  <si>
    <t xml:space="preserve">Transportation cost for sending Tube bundle assembly from Taloja to vapi M/S.Heat cool fin industries
with vvf regular transporter Mr. Devidas (9819272702). it will cost Rs.25000 for Vapi.
Exchanger detail is as below,
Legth-7.5Mtr
Dia-0.9Mtr
Weight-5000Kg
Rs.25000 Cost savings Negotiated Free door delivery at vvf Taloja with new vendor M/S.Heat cool fin industries,Vapi after completion of tube bundle assembly.
</t>
  </si>
  <si>
    <t>M/S.Nandini Steels</t>
  </si>
  <si>
    <t>MS Structural steel</t>
  </si>
  <si>
    <t>3 TON</t>
  </si>
  <si>
    <t>1200/TON</t>
  </si>
  <si>
    <t>3000031765 Dated 20.06.16</t>
  </si>
  <si>
    <t>Rs 1200/TON-Cost improvement achieved compared to LPO rate of M/S.M.K Steel Corporation ,by developing New Vendor M/S Nandini Steel</t>
  </si>
  <si>
    <t>Chemtrols India Pvt.Ltd</t>
  </si>
  <si>
    <t>CHEMTROL Displacer LT SPARES =PRF NO:1100023113</t>
  </si>
  <si>
    <t>Maintain Last PO rates of Yr.2013 &amp; 2015</t>
  </si>
  <si>
    <t>3000031347 Dated 07.06.16</t>
  </si>
  <si>
    <t>17% prices increase ref Revised offered rates for LT OEM spares,Negotiated &amp; Maintained Last PO rates of Yr.2013 &amp; 2015</t>
  </si>
  <si>
    <t>Ashish Baldota</t>
  </si>
  <si>
    <t>Hydrol 320 Oil</t>
  </si>
  <si>
    <t>210 L</t>
  </si>
  <si>
    <t>PO-3000032499  dated 14.07.2016</t>
  </si>
  <si>
    <t>Rs.3717 Savings reference to Last PO.3000011718 dated 21.07.14ate from the same Hydrol Oil distributor</t>
  </si>
  <si>
    <t>Panvel Ind.Fasteners</t>
  </si>
  <si>
    <t>Enklo 68,32 HPCL Oil</t>
  </si>
  <si>
    <t>840+1260 L</t>
  </si>
  <si>
    <t>PO-3000032497  dated14.07.2016</t>
  </si>
  <si>
    <t xml:space="preserve">Rs.10605 Savings reference to Last 3000028953 dated 10.03.16 rate from M/S Aarkay Sons </t>
  </si>
  <si>
    <t>Mars Petro Chem Pvt Ltd</t>
  </si>
  <si>
    <t>420 L+2200L</t>
  </si>
  <si>
    <t>PO-3000033007&amp;33009 dated27.07.2016</t>
  </si>
  <si>
    <t>Rs.49780 Savings reference to Last PO-3000014189 dated 14.10.14 rate from the same Mobil DTE Oil distributor</t>
  </si>
  <si>
    <t>Makharia Machinery</t>
  </si>
  <si>
    <t>72 KG</t>
  </si>
  <si>
    <t>PO-3000032495  dated14.07.2016</t>
  </si>
  <si>
    <t>Ekta Enterprises</t>
  </si>
  <si>
    <t>Tab Type Shims</t>
  </si>
  <si>
    <t>PO-3000032406 dated 07-07.2016 / PO-3000024181  dated 21.09.2015</t>
  </si>
  <si>
    <t>Neo-Impex Stainless Pvt.Ltd</t>
  </si>
  <si>
    <t>Flanges- Fittings Manufacturer</t>
  </si>
  <si>
    <t>355 Nos.</t>
  </si>
  <si>
    <t>PO-3000032897 dated 22.07.2016</t>
  </si>
  <si>
    <t>Rs 5525/-Cost improvement achieved by developing New Manufacturer M/S Neo-Impex Stainless Pvt Ltd at payment term-30 days for Flanges,forge fittings against Paras Engg.works,Nippen Tubes,Sanjay bonnyforge,Jai Ambeforge</t>
  </si>
  <si>
    <t>S A Consultant</t>
  </si>
  <si>
    <t>Pressure Vessel Testing/Externaly &amp; Ultrasonically testing</t>
  </si>
  <si>
    <t>138 Nos.</t>
  </si>
  <si>
    <t>PO-3200028894 dated 26.07.2016</t>
  </si>
  <si>
    <t>Rs 25530/-Cost saving Ref to LPO-3200008614 dated 23.06.14 ,achieved by developing New Consultant M/S SA Consultant for Pressure vessel Testing against M/S.Excel Engineers</t>
  </si>
  <si>
    <t>DIAMETER 5.79 METER X HEIGHT 31.10 METER-Lumsump work</t>
  </si>
  <si>
    <t>PO-3200028795 dated 21.07.2016</t>
  </si>
  <si>
    <t>Cost saving in scaffolding work achieved Rs.10000/- by splitting PO  between two vendors M/S S.K enterprise for Scaffolding &amp; M/S .Thermal engineering for Insulation.</t>
  </si>
  <si>
    <t>Meru Enterprises</t>
  </si>
  <si>
    <t>COPPER TAIL PIPE FOR H2 BOTTLING 3/8"X6MX6 Nos.</t>
  </si>
  <si>
    <t>3/8"X6MX6 Nos.</t>
  </si>
  <si>
    <t>PO-3000033275  dated 03.08.2016</t>
  </si>
  <si>
    <t>Rs 16770/-Cost improvement achieved by developing alternative Vendor M/S Meru Enterprises at payment term-30 days for Copper tail Pipe against M/S Ashwin Engineering Works</t>
  </si>
  <si>
    <t>Wellworth Engineering Co.</t>
  </si>
  <si>
    <t>Crane-sandurs Diaphramgh valves spares</t>
  </si>
  <si>
    <t>80 Nos</t>
  </si>
  <si>
    <t>PO-3000033368  dated 08.08.2016</t>
  </si>
  <si>
    <t>Rs 22990/-Cost improvement achieved by developing New Vendor M/S Wellworth Engg Co at payment term-30 days for Crane-Sandurs diaphramgh valve against CB Trading Corp.</t>
  </si>
  <si>
    <t>S R Enterprise</t>
  </si>
  <si>
    <t xml:space="preserve">TAPE GRAFOIL ADHESIVE ROLLS 3/4"X1/64" </t>
  </si>
  <si>
    <t>20 Nos</t>
  </si>
  <si>
    <t>PO-3000033640 dated 16.08.2016</t>
  </si>
  <si>
    <t xml:space="preserve">Rs.3300/_Cost savings for emergency PR TAPE GRAFOIL ADHESIVE ROLLS 3/4"X1/64" – 20 nos,Compared to M/S.Pankaj Trading co. Offer
delivered today on 14th Aug.2016
</t>
  </si>
  <si>
    <t>JINHARSH INDUSTRIAL SOLUTIONS PVT.LTD</t>
  </si>
  <si>
    <t>TIMKEN /NTN MAKE BEARINGS</t>
  </si>
  <si>
    <t>04 Nos.</t>
  </si>
  <si>
    <t>3000034092 dated 29.08.16</t>
  </si>
  <si>
    <t>Rs 4860/-Cost savings achieved by developing alternative Vendor M/S Jinharsh Solutions P.Ltd at payment term-30 days for TIMKEN/NTN Make Bearings campared to 2014 rates of M/S Bharat Trading Co.</t>
  </si>
  <si>
    <t>GASKET SS316L SW  900#</t>
  </si>
  <si>
    <t>110 Nos.</t>
  </si>
  <si>
    <t>3000033601 Dated 12.08.2016</t>
  </si>
  <si>
    <t>Rs.4814 i.e 30-34 % cost saving compared to last PO rates of Perfect Gaskets Pvt Ltd</t>
  </si>
  <si>
    <t>NILKAMAL LTD</t>
  </si>
  <si>
    <t>2 Nos.</t>
  </si>
  <si>
    <t>3000033646 Dated 16.08.2016</t>
  </si>
  <si>
    <t>Rs.6500 i.e 15% cost saving compared to last PO rates of REVIVAL ENGINEERS</t>
  </si>
  <si>
    <t>Mecgale pneumatics Pvt Ltd</t>
  </si>
  <si>
    <t xml:space="preserve">CHP Spares </t>
  </si>
  <si>
    <t>28 Nos.</t>
  </si>
  <si>
    <t>2015 Spares ARC rates continued for 2016</t>
  </si>
  <si>
    <t>3000034020  Dated 26.08.2016</t>
  </si>
  <si>
    <t>Superior Steel Industries</t>
  </si>
  <si>
    <t>PIPE CS -SMLS SCH40 IBR</t>
  </si>
  <si>
    <t>119 Mtrs</t>
  </si>
  <si>
    <t>3000034363 dated 07.09.16</t>
  </si>
  <si>
    <t>Rs 99609/-Cost savings achieved by developing alternative Vendor M/S SUPERIOR STEEL INDUSTRIES at payment term-30 days for MSL/JINDAL Authorized dealer to 2015 rates of M/S Supermax Boiler Engineers</t>
  </si>
  <si>
    <t>Nippen Tubes</t>
  </si>
  <si>
    <t>IBR ForgeFittings &amp; Flanges</t>
  </si>
  <si>
    <t>32 Nos</t>
  </si>
  <si>
    <t>3000034370 dated 07.09.16</t>
  </si>
  <si>
    <t>Rs 10919/-Cost savings achieved by developing alternative Vendor M/S Nippen Tubes at payment term-30 days for IBR Flanges&amp; Fittings to 2015 rates of M/S Supermax Boiler Engineers</t>
  </si>
  <si>
    <t>08 Nos.</t>
  </si>
  <si>
    <t>3000035275 dated 06.10.16</t>
  </si>
  <si>
    <t>Rs 9720/-Cost savings achieved by developing alternative Vendor M/S Jinharsh Solutions P.Ltd at payment term-30 days for TIMKEN/NTN Make Bearings campared to 2014 rates of M/S Bharat Trading Co.</t>
  </si>
  <si>
    <t>14 Nos.</t>
  </si>
  <si>
    <t>3000035425 dated 14.10.16</t>
  </si>
  <si>
    <t>Rs 3567/-Cost savings achieved by developing alternative Vendor M/S Jinharsh Solutions P.Ltd at payment term-30 days for TIMKEN/NTN Make Bearings campared to 2014 rates of M/S Bharat Trading Co.</t>
  </si>
  <si>
    <t>Millstore Corporation</t>
  </si>
  <si>
    <t>1254 Ltr</t>
  </si>
  <si>
    <t>PO No.3000035622 dated 21.10.2016</t>
  </si>
  <si>
    <t>Last PO rate 715/ltr. for FY-16,negotiated PO-rates Rs.710/lit with new Authorised dealer for Shell OMALA- Millstores Corporation</t>
  </si>
  <si>
    <t xml:space="preserve">OIL LUBRICANT MULTI PURPOSE 20W40,MAKE:BPCL
Mak Multi grade 20 W 40
</t>
  </si>
  <si>
    <t>210 Ltr</t>
  </si>
  <si>
    <t>3000035438 dated 14.10.2016</t>
  </si>
  <si>
    <t>Last PO rate 118.18/ltr. of FY-16/SR Enterprises,negotiated PO-rates Rs.110/lit with new dealer Aarkay Sons</t>
  </si>
  <si>
    <t>24 Mtrs</t>
  </si>
  <si>
    <t>3000035643 dated 21.10.16</t>
  </si>
  <si>
    <t>654&amp;702.00 /mtr LPO rates of Supermax Boilers Vs.Finalised rates for IBR CS Pipes 309.00 &amp; Rs.259/Mtr. with Superior steel Ind.</t>
  </si>
  <si>
    <t>3000038728 dated 02/02/17</t>
  </si>
  <si>
    <t>Cost Savings Reference to Supermax Boilers LPO rates</t>
  </si>
  <si>
    <t>48 Mtrs</t>
  </si>
  <si>
    <t>3000040610 dated 04.04.2017</t>
  </si>
  <si>
    <t>Burckhardt Compression (India) Pvt. Ltd.</t>
  </si>
  <si>
    <t xml:space="preserve">Compressor Spares-BURCK C4U314GP CONC VALVE BCA </t>
  </si>
  <si>
    <t>5 Nos</t>
  </si>
  <si>
    <t>3000032677 dated 18.07.2016</t>
  </si>
  <si>
    <t>11000/- Savings reference to LPO rates for BURCK C4U314GP CONC VALVE BCA  spares</t>
  </si>
  <si>
    <t>Tools Traders Turbhe Pvt Ltd</t>
  </si>
  <si>
    <t>Taparia Handtools</t>
  </si>
  <si>
    <t>36 Nos.</t>
  </si>
  <si>
    <t>3000036581 dated 23.11.16</t>
  </si>
  <si>
    <t>Cost savings Reference to Pankaj Trading Co LPO rates, by developing New vendor-Tools Traders Pvt Ltd.</t>
  </si>
  <si>
    <t>3000036494 dated 22.11.16</t>
  </si>
  <si>
    <t>Cost savings Reference to Triveni Equipments Pvt.Ltd  LPO rates Vs Delta Engineers</t>
  </si>
  <si>
    <t>SUPERMAX BOILER ENGINEERS</t>
  </si>
  <si>
    <t>Annual passing of boiler MR-15472</t>
  </si>
  <si>
    <t>1 AU</t>
  </si>
  <si>
    <t>3200031442 dated 17.11.2016</t>
  </si>
  <si>
    <t>Cost Savings Reference to Supermax Boilers LPO rates 3200024040 dated 07.01.16</t>
  </si>
  <si>
    <t>202995     HD Fire Protect Pvt. Ltd.</t>
  </si>
  <si>
    <t>3000036131 dated 10-11-2016</t>
  </si>
  <si>
    <t>Cost Savings Reference to Shahi Safety services Supply PO rates 3000035199 dated 05.10.16</t>
  </si>
  <si>
    <t>Prankaj Trading Co.</t>
  </si>
  <si>
    <t>PIPE OXY ACETYLENE CYLINDER &amp; FLASHBACK ARRESTOR TORCH END ACETYLENE</t>
  </si>
  <si>
    <t>200 mtrs &amp; 8 nos</t>
  </si>
  <si>
    <t>3000036675 dated 25.11.16</t>
  </si>
  <si>
    <t>Cost Savings Reference to LPO  rates of Bhagyalaxmi hardware &amp; Suman enterprises</t>
  </si>
  <si>
    <t>PO-3000037018 dated 06.12.2016</t>
  </si>
  <si>
    <t>Rs 22360/-Cost improvement achieved by developing alternative Vendor M/S Meru Enterprises at payment term-30 days for Copper tail Pipe against M/S Ashwin Engineering Works</t>
  </si>
  <si>
    <t>Bhagwanti Steels</t>
  </si>
  <si>
    <t>Flexible PU Tube-8MM &amp; Connector press fit</t>
  </si>
  <si>
    <t>20 mtrs &amp; 45 nos</t>
  </si>
  <si>
    <t>3000037083 dated 09/12/16</t>
  </si>
  <si>
    <t>Cost savings of Rs. 1083 Reference to M/S.Metal Tubes LPO rates</t>
  </si>
  <si>
    <t>Konkan Sales &amp; Services</t>
  </si>
  <si>
    <t>KSB Pump Spares</t>
  </si>
  <si>
    <t>37 Nos.</t>
  </si>
  <si>
    <t>3000037732 dated 02.01.17</t>
  </si>
  <si>
    <t xml:space="preserve">Rs.21758 Savings reference to Year 14-15 LPO rates for KSB Pump Spares from same vendor Konkan Sales </t>
  </si>
  <si>
    <t>VARTAK PUMPS &amp; PROJECTS CONSULTANTS</t>
  </si>
  <si>
    <t>1 No.</t>
  </si>
  <si>
    <t>3000037736  dated 02.01.2017</t>
  </si>
  <si>
    <t>Rs.12712 Cost savings by  by Creating Competition betn authorised dealers Vartak Pumps &amp; Vijaykumar &amp; Co.</t>
  </si>
  <si>
    <t>JSE Industries,Vadodara</t>
  </si>
  <si>
    <t>Microfinish Pump Casing Gaskets/ Pump Impellers</t>
  </si>
  <si>
    <t>70 Nos casing gaskets/ 2 nos Impellers</t>
  </si>
  <si>
    <t>3000038245 dated 18.01.17</t>
  </si>
  <si>
    <r>
      <t xml:space="preserve">Microfinish Pumps increase their Casings gaskets prices by 400% Ref LPO rates,develop alternative Pump spares Manufacturer recommended by Mech Taloja team &amp; Myself procurement experience with past employment with DNL/UPL of </t>
    </r>
    <r>
      <rPr>
        <b/>
        <u/>
        <sz val="11"/>
        <color theme="1"/>
        <rFont val="Calibri"/>
        <family val="2"/>
        <scheme val="minor"/>
      </rPr>
      <t>M/S JSE Industries,Vadodara</t>
    </r>
  </si>
  <si>
    <t>KSB Pump Impellers/Volute Casings</t>
  </si>
  <si>
    <t>4 Nos</t>
  </si>
  <si>
    <t>3000038872 dated 07.02.2017</t>
  </si>
  <si>
    <r>
      <t xml:space="preserve">Cost savings reference to KSB pumps spraes rates of Konkan sales by developing technically recommended alternative vendor </t>
    </r>
    <r>
      <rPr>
        <b/>
        <u/>
        <sz val="11"/>
        <color theme="1"/>
        <rFont val="Calibri"/>
        <family val="2"/>
        <scheme val="minor"/>
      </rPr>
      <t>M/S.JSE Industries,Vadodara</t>
    </r>
  </si>
  <si>
    <t>Sujal Enterprises</t>
  </si>
  <si>
    <t>Weir-BDK VALVE GLOBE CS 4" 300# IBR</t>
  </si>
  <si>
    <t>3000039102 dated 14.02.2017</t>
  </si>
  <si>
    <r>
      <t xml:space="preserve">Cost savings reference to Autogeneous welding 4" IBR globe valves by developing alternative vendor </t>
    </r>
    <r>
      <rPr>
        <b/>
        <u/>
        <sz val="11"/>
        <color theme="1"/>
        <rFont val="Calibri"/>
        <family val="2"/>
        <scheme val="minor"/>
      </rPr>
      <t>Sujal Enterprises(Weir-BDK Authorised dealer)</t>
    </r>
  </si>
  <si>
    <t>Punja Petrokem Engineering Ltd</t>
  </si>
  <si>
    <t>WO FOR -SS304 TANK FAB Modifiaction work at Taloja</t>
  </si>
  <si>
    <t>3200034206 dated 08.03.2017</t>
  </si>
  <si>
    <r>
      <t xml:space="preserve">Cost savings reference to Jotirling engg works SS304 Tank Modification work proposal by developing alternative vendor </t>
    </r>
    <r>
      <rPr>
        <b/>
        <u/>
        <sz val="11"/>
        <color theme="1"/>
        <rFont val="Calibri"/>
        <family val="2"/>
        <scheme val="minor"/>
      </rPr>
      <t xml:space="preserve"> Punja Petrokem Engineering Ltd.</t>
    </r>
  </si>
  <si>
    <t>TUV-SUD</t>
  </si>
  <si>
    <t>Third Party Inspection for shut down for 03D3 Project at Taloja Plant.</t>
  </si>
  <si>
    <t>3200034928 dated 29.03.2017</t>
  </si>
  <si>
    <t xml:space="preserve">TUV -NORD came down to their realistic Rates from 1.9 lakhs per month Mandays &amp; per day 7500/-
To 1. 5 lakh &amp; 6000/- per day respectively, 
Only because of creating competition with TUV-SUD Inspection services
</t>
  </si>
  <si>
    <t>Cost Savings Reference Eagle Burgamnn ARC-16 Rates</t>
  </si>
  <si>
    <t>FY-16/17 Total Cost Savings In Lacs</t>
  </si>
  <si>
    <t>Against Target@21 Lacs</t>
  </si>
  <si>
    <t>Note: Yellow highlighted included in main CIP of undersigned</t>
  </si>
  <si>
    <t>Material Code</t>
  </si>
  <si>
    <t>CY Cost Improvement</t>
  </si>
  <si>
    <t>CY Cost Avoidance</t>
  </si>
  <si>
    <t>Last Year Cost Improvement</t>
  </si>
  <si>
    <t>Current Year PO No</t>
  </si>
  <si>
    <t>PO Date</t>
  </si>
  <si>
    <t>Earlier PO No</t>
  </si>
  <si>
    <t>Earlier PO Date</t>
  </si>
  <si>
    <t>402104     NILESH ENTERPRISES</t>
  </si>
  <si>
    <t>19.04.2016</t>
  </si>
  <si>
    <t>09.05.2015</t>
  </si>
  <si>
    <t>Service is being provided by new vendor</t>
  </si>
  <si>
    <t>401801     Green Scape Solutions</t>
  </si>
  <si>
    <t>Vendor asked for 10% increased compared to last year rates. But after negotiation it has been settled to last year rates despite there was competative rate 10% less than existing rates</t>
  </si>
  <si>
    <t>203061     CH FOUR ENERGY SOLUTIONS</t>
  </si>
  <si>
    <t>Alterante vendor other than the Supplier of UASB was approached</t>
  </si>
  <si>
    <t>401383     Reliable Analytical Labo</t>
  </si>
  <si>
    <t>02.11.2015</t>
  </si>
  <si>
    <t>10% price reduction compared to previous PO after negotiation regarding yearly requirement</t>
  </si>
  <si>
    <t>402116     OM SERVICES</t>
  </si>
  <si>
    <t>17.03.2015</t>
  </si>
  <si>
    <t>Service is being provided by new vendor after approval from technical team</t>
  </si>
  <si>
    <t>200431     AXENIC SYSTEMS</t>
  </si>
  <si>
    <t>26.06.2015</t>
  </si>
  <si>
    <t>Earlier work used to be done in two separate days . Now work is done in one day</t>
  </si>
  <si>
    <t>401232     LINKWELL TELECOM SERVICE</t>
  </si>
  <si>
    <t>20.03.2015</t>
  </si>
  <si>
    <t>Reduction after negotiation</t>
  </si>
  <si>
    <t>400169     PRERNA ENTERPRISES</t>
  </si>
  <si>
    <t>Earlier payment was made by cash</t>
  </si>
  <si>
    <t>400152     GEO-CHEM LABORATORIES  P</t>
  </si>
  <si>
    <t>401216     GADARK LAB PVT. LTD</t>
  </si>
  <si>
    <t>3200029112 &amp; 3200028117</t>
  </si>
  <si>
    <t>202512     NEWOWN INSTRUMENTS</t>
  </si>
  <si>
    <t>14.07.2015</t>
  </si>
  <si>
    <t>2% discount on the previous rate of Coal project through negotiation based on 3 quotations</t>
  </si>
  <si>
    <t>200571     ENDRESS &amp; HAUSER(I) PVT.</t>
  </si>
  <si>
    <t>27.06.2014</t>
  </si>
  <si>
    <t>Negotiated prices based on 2 quotaions</t>
  </si>
  <si>
    <t>200830     M POWER</t>
  </si>
  <si>
    <t>19.10.2013</t>
  </si>
  <si>
    <t>Negotiated based on 2 quotation from authorized distributors</t>
  </si>
  <si>
    <t>200519     DARSHAN ENGINEERS</t>
  </si>
  <si>
    <t>19.08.2014</t>
  </si>
  <si>
    <t>Supplied by OEM, Rates as per negotiation</t>
  </si>
  <si>
    <t>202703     Classic Enterprises</t>
  </si>
  <si>
    <t>04.07.2013</t>
  </si>
  <si>
    <t>Reduced the rates</t>
  </si>
  <si>
    <t>203185     HYDROTECH ENGINEERING CO</t>
  </si>
  <si>
    <t>Reduced the rates compared to previous PO by changing the vendor</t>
  </si>
  <si>
    <t>202903 TEGH CABLES PVT LTD</t>
  </si>
  <si>
    <t>Meters</t>
  </si>
  <si>
    <t>05.01.2016</t>
  </si>
  <si>
    <t>202565     Tikona Digital Networks</t>
  </si>
  <si>
    <t>200621     GAUGES BOURDON  (INDIA)</t>
  </si>
  <si>
    <t>Negotiated based on 2 quotations from Manufacturers</t>
  </si>
  <si>
    <t>Negotiated based on 3 quotations from Manufacturers</t>
  </si>
  <si>
    <t>203221     SHREERAJ SYSTEMS</t>
  </si>
  <si>
    <t>200569     EMINENT LIGHTING COMPANY</t>
  </si>
  <si>
    <t>Negotation by Shimanchal</t>
  </si>
  <si>
    <t>203213     LUBRITECH INDIA</t>
  </si>
  <si>
    <t>Reduced the transportation cost by INR 3000</t>
  </si>
  <si>
    <t>200680     HORIZON CORPORATION</t>
  </si>
  <si>
    <t>Negotiated based on 3 quotations from traders</t>
  </si>
  <si>
    <t>200568     EMERSON PROCESS MANAGEME</t>
  </si>
  <si>
    <t>Reduced the prices by negotiation</t>
  </si>
  <si>
    <t>Negotiated based on 2 quotations and previous prices</t>
  </si>
  <si>
    <t>401404     NEW TECH ENGINEERS</t>
  </si>
  <si>
    <t>Procured from New vendor , lower than the cost template</t>
  </si>
  <si>
    <t>203036     Magnatron International</t>
  </si>
  <si>
    <t>Reduced transportation cost</t>
  </si>
  <si>
    <t>200970     NIRMAL INDUSTRIAL CONTRO</t>
  </si>
  <si>
    <t>Increased the discount from 15% to 20%</t>
  </si>
  <si>
    <t>203179     Valtomation Controls</t>
  </si>
  <si>
    <t>Procured from new vendor, lower than the price quoted by previous vendor</t>
  </si>
  <si>
    <t>203287     RSP POWER SOLUTIONS</t>
  </si>
  <si>
    <t>Procured from new vendor,authorized distributor of exide batteries, lower than the price quoted by previous vendor</t>
  </si>
  <si>
    <t>202796     VARDHMAN HOSES PVT.LTD.</t>
  </si>
  <si>
    <t>Procured from regular vendor at lower price based on volume discount</t>
  </si>
  <si>
    <t>200506     CONTECH ENGINEERS</t>
  </si>
  <si>
    <t>Procured from authorized distributor of M/S Misbus</t>
  </si>
  <si>
    <t>200634     GLOBALTECH ENGINEERS</t>
  </si>
  <si>
    <t>200536     DHOOT BROTHERS</t>
  </si>
  <si>
    <t>Procured from previously present authorized distributor of Phillips</t>
  </si>
  <si>
    <t>200493     CHINO CORPORATION INDIA</t>
  </si>
  <si>
    <t>Procured from a new manufacturer</t>
  </si>
  <si>
    <t>400153     BLUE STAR LIMITED</t>
  </si>
  <si>
    <t>AMC CHARGES FOR Taloja and Sion PLANT AC</t>
  </si>
  <si>
    <t>Decreased the AMC charges by 10%</t>
  </si>
  <si>
    <t>400053     MASCOT VALVES PRIVATE  L</t>
  </si>
  <si>
    <t>MASCOT Valve spares</t>
  </si>
  <si>
    <t>Increased discount from 12.5% to 15%</t>
  </si>
  <si>
    <t>402370     WELTECH ENGINEERS &amp; CONS</t>
  </si>
  <si>
    <t>200852     MAKHARIA MACHINERIES PVT</t>
  </si>
  <si>
    <t>Increased the discount by 2%</t>
  </si>
  <si>
    <t>400526 FIVE NETWORK SOLUTIONS (I) LTD</t>
  </si>
  <si>
    <t>Internet Bandwith 20 Mbps -APR'17 -Jun17</t>
  </si>
  <si>
    <t>04.04.2017</t>
  </si>
  <si>
    <t>07.04.2016</t>
  </si>
  <si>
    <t>Decreased the AMC charges by 11%</t>
  </si>
  <si>
    <t>400658     ORIENT TECHNOLOGIES PVT</t>
  </si>
  <si>
    <t>AMC for Cisco switches</t>
  </si>
  <si>
    <t>12.02.2106</t>
  </si>
  <si>
    <t>Decreased the AMC prices by INR 10,000</t>
  </si>
  <si>
    <t>Summary</t>
  </si>
  <si>
    <t>Saving upto March 2017</t>
  </si>
  <si>
    <t>upto March 2017</t>
  </si>
  <si>
    <t>Coal Savings</t>
  </si>
  <si>
    <t>Total Coal Consumed FY 16-17</t>
  </si>
  <si>
    <t>Total PO Quantity</t>
  </si>
  <si>
    <t>Total PO cost</t>
  </si>
  <si>
    <t>Total Coal consumed cost</t>
  </si>
  <si>
    <t>Total Cost pet MT consumed</t>
  </si>
  <si>
    <t>Total Cost pet MT PO</t>
  </si>
  <si>
    <t>HBA Index</t>
  </si>
  <si>
    <t>Indo Coal 5K GCV</t>
  </si>
  <si>
    <t>VVF Spec Coal Spot</t>
  </si>
  <si>
    <t>R0</t>
  </si>
  <si>
    <t>R1</t>
  </si>
  <si>
    <t>Month</t>
  </si>
  <si>
    <t>Coal Consumed (MTs)</t>
  </si>
  <si>
    <t>PO qty for the month (MTs)</t>
  </si>
  <si>
    <t>Forward Cover</t>
  </si>
  <si>
    <t>Rate (USD/MT)</t>
  </si>
  <si>
    <t>% change</t>
  </si>
  <si>
    <t>Excng Rate USD</t>
  </si>
  <si>
    <t>Cost template in Rs/Kg (5000 GCV indo coal)</t>
  </si>
  <si>
    <t>Cost template in Rs/Kg (VVF spec)</t>
  </si>
  <si>
    <t>PO Rate in Rs/Kg</t>
  </si>
  <si>
    <t>% of Act to Cost template</t>
  </si>
  <si>
    <t>Monsoon Rate</t>
  </si>
  <si>
    <t>Savings compared to VVF Specs Price on Coal spot</t>
  </si>
  <si>
    <t xml:space="preserve"> </t>
  </si>
  <si>
    <t>Coal procured from covered warehouse due to moisture issue due to monsoon</t>
  </si>
  <si>
    <t>Cost Improvement through Negotiations / New Vendor Development (April 16--March.17)</t>
  </si>
  <si>
    <t xml:space="preserve"> a</t>
  </si>
  <si>
    <t>Sr.No.</t>
  </si>
  <si>
    <t>Qty cummulative</t>
  </si>
  <si>
    <t>Saving Basis</t>
  </si>
  <si>
    <t>Saving per Unit</t>
  </si>
  <si>
    <t>Saving - Cummulative</t>
  </si>
  <si>
    <t xml:space="preserve">  GANESH SCIENTIFC INDUSTRIES</t>
  </si>
  <si>
    <t>1801170</t>
  </si>
  <si>
    <t>Qty</t>
  </si>
  <si>
    <t>19.05.2016</t>
  </si>
  <si>
    <t>New vendor develop M/s. Ganesh Scientific for supply of Oil bath with Magnetic Stirr ,  we insist to R&amp;D for oil bath buy alongwith Magnetic Stirr.  Payment terms agaisnt 30days</t>
  </si>
  <si>
    <t>Time Technoplast</t>
  </si>
  <si>
    <t>06.06.2016</t>
  </si>
  <si>
    <t>reduced conversion  fix cost Rs. 11/- instead of Rs. 13/-</t>
  </si>
  <si>
    <t>Dec.16</t>
  </si>
  <si>
    <t>Jay Wood &amp; N K Packaging</t>
  </si>
  <si>
    <t>All Wooden Pallets</t>
  </si>
  <si>
    <t>PO Value</t>
  </si>
  <si>
    <t>5% of PO Value</t>
  </si>
  <si>
    <t>Reduced 5% discount against earlier price.</t>
  </si>
  <si>
    <t>BULK LIQUID SOLUTIONS PVT. LTD.</t>
  </si>
  <si>
    <t>1002708</t>
  </si>
  <si>
    <t>Flexi Tank</t>
  </si>
  <si>
    <t>15.06.2016</t>
  </si>
  <si>
    <t>03.02.2016</t>
  </si>
  <si>
    <t>Price revise @ Rs. 18000/ instead of Rs.19000/- against 4nos used Metal bar  provided by us.</t>
  </si>
  <si>
    <t>Vohra Agencies</t>
  </si>
  <si>
    <t>16.05.2016</t>
  </si>
  <si>
    <t xml:space="preserve">Alternative vendor develop @ Rs. 17436/- </t>
  </si>
  <si>
    <t>Bulk Material</t>
  </si>
  <si>
    <t>Sdfine /Rankem / Thermofisher</t>
  </si>
  <si>
    <t>Lab chemicals</t>
  </si>
  <si>
    <t>Bulk Qty</t>
  </si>
  <si>
    <t>Order finalized with Special rate against Bulk Quantity  with M/s. Thermofisher,M/s. Rankem and M/s. S.D. fine. Discount 63% + against earlier discount )</t>
  </si>
  <si>
    <t>THE SUPREME INDUSTRIES LTD.</t>
  </si>
  <si>
    <t>Conversion has been changed from Rs 38 per kg to 22 per kg</t>
  </si>
  <si>
    <t>Taiyo Nippon Sanso K - Air India Pv</t>
  </si>
  <si>
    <t>2100007</t>
  </si>
  <si>
    <t>Cu.Mtr</t>
  </si>
  <si>
    <t>Alternative vendor developed for supply  of liquid Nitrogen comparing with M/s. Linde &amp; M/s.Inox. Negotiated price Rs. 10.25/per  Cu. Mtr against earlier price Rs. 11/- per cu mtr.</t>
  </si>
  <si>
    <t>Oct.16</t>
  </si>
  <si>
    <t>Nov.16</t>
  </si>
  <si>
    <t xml:space="preserve"> POOJA BAGS</t>
  </si>
  <si>
    <t>2001852</t>
  </si>
  <si>
    <t>Jute  Bags for Gifts</t>
  </si>
  <si>
    <t>13.10.2016</t>
  </si>
  <si>
    <t>12.10.2015</t>
  </si>
  <si>
    <t>Po placed @ Rs. 60/per bag instead of Rs. 200 per bag,  Total saving @ Rs. 56000/-</t>
  </si>
  <si>
    <t>Sun Flexi tank</t>
  </si>
  <si>
    <t>Resale Heating tube &amp; Metal bar</t>
  </si>
  <si>
    <t>Resale tubes and metal bar against DD payment</t>
  </si>
  <si>
    <t>Sept.16</t>
  </si>
  <si>
    <t>Aug.17</t>
  </si>
  <si>
    <t>TPL Plast chem</t>
  </si>
  <si>
    <t>1001501</t>
  </si>
  <si>
    <t>7.8 HDPE Drum</t>
  </si>
  <si>
    <t>Conversion factor has been changed agaist Time Technoplast,Dimple Drum, Ec-on barrel etc.</t>
  </si>
  <si>
    <t>1002407</t>
  </si>
  <si>
    <t>9kg HDPE Drum</t>
  </si>
  <si>
    <t>1002442</t>
  </si>
  <si>
    <t>8.5kf HDPE Drum</t>
  </si>
  <si>
    <t>203196</t>
  </si>
  <si>
    <t xml:space="preserve"> Archerchem Instruments(RADWAG)</t>
  </si>
  <si>
    <t>1801423</t>
  </si>
  <si>
    <t>Prices are discounted by 27% ,New vendor developed against Mettler Toledo</t>
  </si>
  <si>
    <t xml:space="preserve">      Oct.17</t>
  </si>
  <si>
    <t>Reuse  Heating Pad with BLBD</t>
  </si>
  <si>
    <t>Resale tube with metal bar to WADA, Unitop Khapoli etc.</t>
  </si>
  <si>
    <t>Sun Flexi Tank</t>
  </si>
  <si>
    <t>reduced Rs. 4000/- per flexi agaisnt Bulk liquid , Vohra Agencies etc.</t>
  </si>
  <si>
    <t>Cost Avoidance</t>
  </si>
  <si>
    <t>Year 2015-16</t>
  </si>
  <si>
    <t>Actual - Apr-July-2016</t>
  </si>
  <si>
    <t>No Delay</t>
  </si>
  <si>
    <t>Less than 5 days Delay</t>
  </si>
  <si>
    <t>Delay more than 5 days</t>
  </si>
  <si>
    <t>Total Deliveries</t>
  </si>
  <si>
    <t>% Delay</t>
  </si>
  <si>
    <t>% on time FY15-16</t>
  </si>
  <si>
    <t>% Ontime Target FY16-17</t>
  </si>
  <si>
    <t>% on time FY16-17</t>
  </si>
  <si>
    <t>Actual % Improvement</t>
  </si>
  <si>
    <t>Actual - Apr-Sep-2016</t>
  </si>
  <si>
    <t>% improvement in Delivery performance</t>
  </si>
  <si>
    <t>Actual - Apr-16 to Mar-17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</si>
</sst>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 &quot;₹&quot;\ * #,##0.00_ ;_ &quot;₹&quot;\ * \-#,##0.00_ ;_ &quot;₹&quot;\ * &quot;-&quot;??_ ;_ @_ "/>
    <numFmt numFmtId="43" formatCode="_ * #,##0.00_ ;_ * \-#,##0.00_ ;_ * &quot;-&quot;??_ ;_ @_ "/>
    <numFmt numFmtId="165" formatCode="_ * #,##0_ ;_ * \-#,##0_ ;_ * &quot;-&quot;??_ ;_ @_ "/>
    <numFmt numFmtId="166" formatCode="0.000"/>
    <numFmt numFmtId="167" formatCode="&quot;Rs.&quot;\ #,##0.00"/>
    <numFmt numFmtId="168" formatCode="0.0"/>
    <numFmt numFmtId="169" formatCode="&quot;Rs.&quot;\ #,##0"/>
    <numFmt numFmtId="170" formatCode="0.0%"/>
  </numFmts>
  <fonts count="21" x14ac:knownFonts="1">
    <font>
      <sz val="10"/>
      <name val="Arial"/>
    </font>
    <font>
      <sz val="10"/>
      <name val="Arial"/>
    </font>
    <font>
      <b/>
      <sz val="11"/>
      <color theme="1"/>
      <name val="Calibri"/>
      <family val="2"/>
      <scheme val="minor"/>
    </font>
    <font>
      <b/>
      <sz val="14"/>
      <color theme="1"/>
      <name val="Calibri"/>
      <family val="2"/>
      <scheme val="minor"/>
    </font>
    <font>
      <sz val="9"/>
      <color theme="1"/>
      <name val="Calibri"/>
      <family val="2"/>
      <scheme val="minor"/>
    </font>
    <font>
      <sz val="9"/>
      <color rgb="FFFF0000"/>
      <name val="Calibri"/>
      <family val="2"/>
      <scheme val="minor"/>
    </font>
    <font>
      <sz val="10"/>
      <name val="Arial"/>
      <family val="2"/>
    </font>
    <font>
      <sz val="11"/>
      <name val="Calibri"/>
      <family val="2"/>
      <scheme val="minor"/>
    </font>
    <font>
      <sz val="11"/>
      <color rgb="FF00B050"/>
      <name val="Calibri"/>
      <family val="2"/>
      <scheme val="minor"/>
    </font>
    <font>
      <sz val="12"/>
      <color rgb="FF000000"/>
      <name val="Times New Roman"/>
      <family val="1"/>
    </font>
    <font>
      <sz val="11"/>
      <color rgb="FF000000"/>
      <name val="Calibri"/>
      <family val="2"/>
      <scheme val="minor"/>
    </font>
    <font>
      <sz val="11"/>
      <color rgb="FF000000"/>
      <name val="Calibri"/>
      <family val="2"/>
    </font>
    <font>
      <b/>
      <u/>
      <sz val="11"/>
      <color theme="1"/>
      <name val="Calibri"/>
      <family val="2"/>
      <scheme val="minor"/>
    </font>
    <font>
      <b/>
      <sz val="11"/>
      <color rgb="FF0070C0"/>
      <name val="Bookman Old Style"/>
      <family val="1"/>
    </font>
    <font>
      <b/>
      <sz val="11"/>
      <color rgb="FF0070C0"/>
      <name val="Calibri"/>
      <family val="2"/>
      <scheme val="minor"/>
    </font>
    <font>
      <sz val="10"/>
      <color rgb="FFFF0000"/>
      <name val="Arial"/>
      <family val="2"/>
    </font>
    <font>
      <b/>
      <sz val="10"/>
      <name val="Arial"/>
      <family val="2"/>
    </font>
    <font>
      <b/>
      <sz val="9"/>
      <color indexed="81"/>
      <name val="Tahoma"/>
      <family val="2"/>
    </font>
    <font>
      <sz val="12"/>
      <color theme="1"/>
      <name val="Calibri"/>
      <family val="2"/>
      <scheme val="minor"/>
    </font>
    <font>
      <b/>
      <sz val="12"/>
      <color theme="1"/>
      <name val="Calibri"/>
      <family val="2"/>
      <scheme val="minor"/>
    </font>
    <font>
      <sz val="11"/>
      <color rgb="FFFF0000"/>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2"/>
        <bgColor indexed="64"/>
      </patternFill>
    </fill>
    <fill>
      <patternFill patternType="solid">
        <fgColor rgb="FFFFFFFF"/>
        <bgColor indexed="64"/>
      </patternFill>
    </fill>
    <fill>
      <patternFill patternType="solid">
        <fgColor theme="9" tint="0.79998168889431442"/>
        <bgColor indexed="64"/>
      </patternFill>
    </fill>
    <fill>
      <patternFill patternType="solid">
        <fgColor rgb="FF00B0F0"/>
        <bgColor indexed="64"/>
      </patternFill>
    </fill>
    <fill>
      <patternFill patternType="solid">
        <fgColor rgb="FF92D050"/>
        <bgColor indexed="64"/>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0" fontId="6" fillId="0" borderId="0"/>
  </cellStyleXfs>
  <cellXfs count="260">
    <xf numFmtId="0" fontId="0" fillId="0" borderId="0" xfId="0" applyAlignment="1">
      <alignment vertical="top"/>
    </xf>
    <xf numFmtId="14" fontId="0" fillId="0" borderId="0" xfId="0" applyNumberFormat="1" applyAlignment="1">
      <alignment horizontal="right" vertical="top"/>
    </xf>
    <xf numFmtId="4" fontId="0" fillId="0" borderId="0" xfId="0" applyNumberFormat="1" applyAlignment="1">
      <alignment horizontal="right" vertical="top"/>
    </xf>
    <xf numFmtId="0" fontId="0" fillId="2" borderId="1" xfId="0" applyFill="1" applyBorder="1" applyAlignment="1">
      <alignment vertical="top" wrapText="1"/>
    </xf>
    <xf numFmtId="0" fontId="0" fillId="0" borderId="0" xfId="0" applyNumberFormat="1" applyAlignment="1">
      <alignment vertical="top"/>
    </xf>
    <xf numFmtId="0" fontId="0" fillId="0" borderId="1" xfId="0" applyBorder="1" applyAlignment="1">
      <alignment vertical="top"/>
    </xf>
    <xf numFmtId="0" fontId="0" fillId="0" borderId="0" xfId="0" applyAlignment="1">
      <alignment vertical="top" wrapText="1"/>
    </xf>
    <xf numFmtId="0" fontId="3" fillId="0" borderId="0" xfId="0" applyFont="1" applyAlignment="1">
      <alignment vertical="top"/>
    </xf>
    <xf numFmtId="0" fontId="0" fillId="0" borderId="0" xfId="0" applyAlignment="1">
      <alignment horizontal="right" vertical="top" wrapText="1"/>
    </xf>
    <xf numFmtId="0" fontId="2" fillId="3" borderId="1" xfId="0" applyFont="1" applyFill="1" applyBorder="1" applyAlignment="1">
      <alignment vertical="top" wrapText="1"/>
    </xf>
    <xf numFmtId="165" fontId="4" fillId="0" borderId="1" xfId="1" applyNumberFormat="1" applyFont="1" applyBorder="1" applyAlignment="1">
      <alignment horizontal="left" vertical="top" wrapText="1"/>
    </xf>
    <xf numFmtId="165" fontId="4" fillId="0" borderId="1" xfId="1" applyNumberFormat="1" applyFont="1" applyBorder="1" applyAlignment="1">
      <alignment horizontal="left" vertical="top"/>
    </xf>
    <xf numFmtId="17" fontId="4" fillId="0" borderId="1" xfId="1" applyNumberFormat="1" applyFont="1" applyBorder="1" applyAlignment="1">
      <alignment horizontal="left" vertical="top"/>
    </xf>
    <xf numFmtId="43" fontId="4" fillId="0" borderId="1" xfId="1" applyNumberFormat="1" applyFont="1" applyBorder="1" applyAlignment="1">
      <alignment vertical="top"/>
    </xf>
    <xf numFmtId="17" fontId="4" fillId="0" borderId="1" xfId="1" applyNumberFormat="1" applyFont="1" applyBorder="1" applyAlignment="1">
      <alignment horizontal="left" vertical="top" wrapText="1"/>
    </xf>
    <xf numFmtId="43" fontId="4" fillId="0" borderId="1" xfId="1" applyNumberFormat="1" applyFont="1" applyFill="1" applyBorder="1" applyAlignment="1">
      <alignment vertical="top"/>
    </xf>
    <xf numFmtId="0" fontId="4" fillId="0" borderId="1" xfId="1" quotePrefix="1" applyNumberFormat="1" applyFont="1" applyBorder="1" applyAlignment="1">
      <alignment horizontal="left" vertical="top" wrapText="1"/>
    </xf>
    <xf numFmtId="165" fontId="4" fillId="0" borderId="0" xfId="1" applyNumberFormat="1" applyFont="1" applyBorder="1" applyAlignment="1">
      <alignment horizontal="left" vertical="top"/>
    </xf>
    <xf numFmtId="0" fontId="0" fillId="0" borderId="2" xfId="0" applyBorder="1" applyAlignment="1">
      <alignment vertical="top" wrapText="1"/>
    </xf>
    <xf numFmtId="0" fontId="0" fillId="0" borderId="4" xfId="0" applyBorder="1" applyAlignment="1">
      <alignment vertical="top" wrapText="1"/>
    </xf>
    <xf numFmtId="0" fontId="0" fillId="0" borderId="3" xfId="0" applyBorder="1" applyAlignment="1">
      <alignment vertical="top" wrapText="1"/>
    </xf>
    <xf numFmtId="43" fontId="0" fillId="0" borderId="2" xfId="0" applyNumberFormat="1" applyBorder="1" applyAlignment="1">
      <alignment vertical="top" wrapText="1"/>
    </xf>
    <xf numFmtId="0" fontId="6" fillId="0" borderId="0" xfId="0" applyFont="1" applyAlignment="1">
      <alignment vertical="top" wrapText="1"/>
    </xf>
    <xf numFmtId="0" fontId="6" fillId="0" borderId="0" xfId="0" applyFont="1" applyAlignment="1">
      <alignment vertical="top"/>
    </xf>
    <xf numFmtId="43" fontId="4" fillId="0" borderId="1" xfId="1" applyNumberFormat="1" applyFont="1" applyBorder="1" applyAlignment="1">
      <alignment horizontal="left" vertical="top" wrapText="1"/>
    </xf>
    <xf numFmtId="0" fontId="0" fillId="0" borderId="0" xfId="0"/>
    <xf numFmtId="0" fontId="0" fillId="0" borderId="1" xfId="0" applyBorder="1"/>
    <xf numFmtId="0" fontId="0" fillId="0" borderId="3" xfId="0" applyBorder="1"/>
    <xf numFmtId="0" fontId="0" fillId="0" borderId="1" xfId="0" applyFill="1" applyBorder="1"/>
    <xf numFmtId="0" fontId="0" fillId="0" borderId="1" xfId="0" applyBorder="1" applyAlignment="1">
      <alignment wrapText="1"/>
    </xf>
    <xf numFmtId="3" fontId="0" fillId="0" borderId="1" xfId="0" applyNumberFormat="1" applyBorder="1"/>
    <xf numFmtId="0" fontId="0" fillId="4" borderId="1" xfId="0" applyNumberFormat="1" applyFill="1" applyBorder="1"/>
    <xf numFmtId="0" fontId="0" fillId="0" borderId="1" xfId="0" applyFill="1" applyBorder="1" applyAlignment="1">
      <alignment wrapText="1"/>
    </xf>
    <xf numFmtId="17" fontId="2" fillId="2" borderId="1" xfId="0" applyNumberFormat="1" applyFont="1" applyFill="1" applyBorder="1"/>
    <xf numFmtId="0" fontId="0" fillId="4" borderId="6" xfId="0" applyNumberFormat="1" applyFill="1" applyBorder="1" applyAlignment="1">
      <alignment horizontal="left"/>
    </xf>
    <xf numFmtId="0" fontId="0" fillId="4" borderId="6" xfId="0" applyNumberFormat="1" applyFill="1" applyBorder="1"/>
    <xf numFmtId="0" fontId="0" fillId="4" borderId="1" xfId="0" applyNumberFormat="1" applyFill="1" applyBorder="1" applyAlignment="1">
      <alignment wrapText="1"/>
    </xf>
    <xf numFmtId="17" fontId="2" fillId="4" borderId="1" xfId="0" applyNumberFormat="1" applyFont="1" applyFill="1" applyBorder="1"/>
    <xf numFmtId="0" fontId="7" fillId="4" borderId="6" xfId="0" applyNumberFormat="1" applyFont="1" applyFill="1" applyBorder="1"/>
    <xf numFmtId="0" fontId="0" fillId="4" borderId="1" xfId="0" applyFill="1" applyBorder="1"/>
    <xf numFmtId="0" fontId="0" fillId="0" borderId="0" xfId="0" applyBorder="1"/>
    <xf numFmtId="0" fontId="7" fillId="4" borderId="1" xfId="0" applyNumberFormat="1" applyFont="1" applyFill="1" applyBorder="1"/>
    <xf numFmtId="0" fontId="0" fillId="4" borderId="1" xfId="0" applyNumberFormat="1" applyFill="1" applyBorder="1" applyAlignment="1">
      <alignment horizontal="left"/>
    </xf>
    <xf numFmtId="0" fontId="0" fillId="5" borderId="7" xfId="0" applyFill="1" applyBorder="1"/>
    <xf numFmtId="0" fontId="2" fillId="5" borderId="8" xfId="0" applyFont="1" applyFill="1" applyBorder="1"/>
    <xf numFmtId="0" fontId="0" fillId="5" borderId="8" xfId="0" applyFill="1" applyBorder="1"/>
    <xf numFmtId="0" fontId="2" fillId="0" borderId="6" xfId="0" applyFont="1" applyBorder="1"/>
    <xf numFmtId="0" fontId="2" fillId="0" borderId="9" xfId="0" applyFont="1" applyBorder="1"/>
    <xf numFmtId="0" fontId="0" fillId="0" borderId="6" xfId="0" applyBorder="1"/>
    <xf numFmtId="0" fontId="0" fillId="0" borderId="10" xfId="0" applyBorder="1"/>
    <xf numFmtId="0" fontId="2" fillId="0" borderId="6" xfId="0" applyFont="1" applyBorder="1" applyAlignment="1">
      <alignment wrapText="1"/>
    </xf>
    <xf numFmtId="49" fontId="0" fillId="4" borderId="1" xfId="0" applyNumberFormat="1" applyFill="1" applyBorder="1"/>
    <xf numFmtId="0" fontId="0" fillId="0" borderId="1" xfId="0" applyBorder="1" applyAlignment="1">
      <alignment horizontal="right"/>
    </xf>
    <xf numFmtId="0" fontId="0" fillId="0" borderId="6" xfId="0" applyBorder="1" applyAlignment="1">
      <alignment wrapText="1"/>
    </xf>
    <xf numFmtId="0" fontId="8" fillId="0" borderId="1" xfId="0" applyFont="1" applyBorder="1" applyAlignment="1">
      <alignment wrapText="1"/>
    </xf>
    <xf numFmtId="0" fontId="0" fillId="4" borderId="1" xfId="0" applyNumberFormat="1" applyFill="1" applyBorder="1" applyAlignment="1">
      <alignment horizontal="right"/>
    </xf>
    <xf numFmtId="0" fontId="8" fillId="4" borderId="1" xfId="0" applyNumberFormat="1" applyFont="1" applyFill="1" applyBorder="1" applyAlignment="1">
      <alignment wrapText="1"/>
    </xf>
    <xf numFmtId="0" fontId="0" fillId="0" borderId="11" xfId="0" applyFill="1" applyBorder="1"/>
    <xf numFmtId="0" fontId="0" fillId="4" borderId="1" xfId="0" applyNumberFormat="1" applyFill="1" applyBorder="1" applyAlignment="1">
      <alignment vertical="top" wrapText="1"/>
    </xf>
    <xf numFmtId="0" fontId="9" fillId="6" borderId="1" xfId="0" applyFont="1" applyFill="1" applyBorder="1" applyAlignment="1">
      <alignment horizontal="right" vertical="center"/>
    </xf>
    <xf numFmtId="0" fontId="9" fillId="6" borderId="1" xfId="0" applyFont="1" applyFill="1" applyBorder="1" applyAlignment="1">
      <alignment vertical="center"/>
    </xf>
    <xf numFmtId="0" fontId="9" fillId="6" borderId="1" xfId="0" applyFont="1" applyFill="1" applyBorder="1" applyAlignment="1">
      <alignment horizontal="right" vertical="center" wrapText="1"/>
    </xf>
    <xf numFmtId="0" fontId="7" fillId="4" borderId="11" xfId="0" applyNumberFormat="1" applyFont="1" applyFill="1" applyBorder="1"/>
    <xf numFmtId="0" fontId="9" fillId="6" borderId="11" xfId="0" applyFont="1" applyFill="1" applyBorder="1" applyAlignment="1">
      <alignment horizontal="right" vertical="center"/>
    </xf>
    <xf numFmtId="0" fontId="9" fillId="6" borderId="11" xfId="0" applyFont="1" applyFill="1" applyBorder="1" applyAlignment="1">
      <alignment vertical="center"/>
    </xf>
    <xf numFmtId="0" fontId="0" fillId="0" borderId="0" xfId="0" applyAlignment="1">
      <alignment wrapText="1"/>
    </xf>
    <xf numFmtId="0" fontId="10" fillId="0" borderId="1" xfId="0" applyFont="1" applyBorder="1"/>
    <xf numFmtId="0" fontId="10" fillId="0" borderId="1" xfId="0" applyFont="1" applyBorder="1" applyAlignment="1">
      <alignment wrapText="1"/>
    </xf>
    <xf numFmtId="4" fontId="11" fillId="6" borderId="1" xfId="0" applyNumberFormat="1" applyFont="1" applyFill="1" applyBorder="1" applyAlignment="1">
      <alignment horizontal="right" vertical="center"/>
    </xf>
    <xf numFmtId="0" fontId="10" fillId="0" borderId="6" xfId="0" applyFont="1" applyBorder="1"/>
    <xf numFmtId="0" fontId="11" fillId="0" borderId="1" xfId="0" applyFont="1" applyBorder="1" applyAlignment="1">
      <alignment vertical="center"/>
    </xf>
    <xf numFmtId="0" fontId="13" fillId="0" borderId="6" xfId="0" applyFont="1" applyFill="1" applyBorder="1" applyAlignment="1">
      <alignment wrapText="1"/>
    </xf>
    <xf numFmtId="166" fontId="13" fillId="0" borderId="6" xfId="0" applyNumberFormat="1" applyFont="1" applyBorder="1"/>
    <xf numFmtId="0" fontId="14" fillId="0" borderId="0" xfId="0" applyFont="1"/>
    <xf numFmtId="17" fontId="0" fillId="0" borderId="0" xfId="0" applyNumberFormat="1"/>
    <xf numFmtId="0" fontId="0" fillId="2" borderId="1" xfId="0" applyFill="1" applyBorder="1"/>
    <xf numFmtId="0" fontId="10" fillId="2" borderId="1" xfId="0" applyFont="1" applyFill="1" applyBorder="1"/>
    <xf numFmtId="0" fontId="0" fillId="2" borderId="1" xfId="0" applyFill="1" applyBorder="1" applyAlignment="1">
      <alignment wrapText="1"/>
    </xf>
    <xf numFmtId="0" fontId="0" fillId="2" borderId="0" xfId="0" applyFill="1"/>
    <xf numFmtId="0" fontId="2" fillId="7" borderId="6" xfId="0" applyFont="1" applyFill="1" applyBorder="1" applyAlignment="1">
      <alignment horizontal="center" vertical="center" wrapText="1"/>
    </xf>
    <xf numFmtId="0" fontId="2" fillId="7" borderId="9" xfId="0" applyFont="1" applyFill="1" applyBorder="1" applyAlignment="1">
      <alignment horizontal="center" vertical="center" wrapText="1"/>
    </xf>
    <xf numFmtId="0" fontId="2" fillId="7" borderId="10" xfId="0" applyFont="1" applyFill="1" applyBorder="1" applyAlignment="1">
      <alignment horizontal="center" vertical="center" wrapText="1"/>
    </xf>
    <xf numFmtId="0" fontId="0" fillId="0" borderId="1" xfId="0" applyBorder="1" applyAlignment="1">
      <alignment horizontal="center" vertical="top"/>
    </xf>
    <xf numFmtId="0" fontId="6" fillId="0" borderId="1" xfId="0" applyFont="1" applyFill="1" applyBorder="1" applyAlignment="1">
      <alignment vertical="top"/>
    </xf>
    <xf numFmtId="0" fontId="0" fillId="0" borderId="1" xfId="0" applyFill="1" applyBorder="1" applyAlignment="1">
      <alignment vertical="top"/>
    </xf>
    <xf numFmtId="167" fontId="0" fillId="0" borderId="1" xfId="0" applyNumberFormat="1" applyFill="1" applyBorder="1" applyAlignment="1">
      <alignment vertical="top"/>
    </xf>
    <xf numFmtId="0" fontId="15" fillId="0" borderId="1" xfId="0" applyFont="1" applyFill="1" applyBorder="1" applyAlignment="1">
      <alignment vertical="top"/>
    </xf>
    <xf numFmtId="167" fontId="15" fillId="0" borderId="1" xfId="0" applyNumberFormat="1" applyFont="1" applyFill="1" applyBorder="1" applyAlignment="1">
      <alignment vertical="top"/>
    </xf>
    <xf numFmtId="14" fontId="0" fillId="0" borderId="1" xfId="0" applyNumberFormat="1" applyFill="1" applyBorder="1" applyAlignment="1">
      <alignment vertical="top"/>
    </xf>
    <xf numFmtId="14" fontId="0" fillId="0" borderId="1" xfId="0" applyNumberFormat="1" applyFill="1" applyBorder="1" applyAlignment="1">
      <alignment horizontal="right" vertical="top"/>
    </xf>
    <xf numFmtId="3" fontId="0" fillId="0" borderId="1" xfId="0" applyNumberFormat="1" applyFill="1" applyBorder="1" applyAlignment="1">
      <alignment horizontal="right" vertical="top"/>
    </xf>
    <xf numFmtId="4" fontId="0" fillId="0" borderId="1" xfId="0" applyNumberFormat="1" applyFill="1" applyBorder="1" applyAlignment="1">
      <alignment horizontal="right" vertical="top"/>
    </xf>
    <xf numFmtId="0" fontId="0" fillId="0" borderId="1" xfId="0" applyNumberFormat="1" applyFill="1" applyBorder="1" applyAlignment="1">
      <alignment vertical="top"/>
    </xf>
    <xf numFmtId="3" fontId="6" fillId="0" borderId="1" xfId="0" applyNumberFormat="1" applyFont="1" applyFill="1" applyBorder="1" applyAlignment="1">
      <alignment horizontal="right" vertical="top"/>
    </xf>
    <xf numFmtId="0" fontId="15" fillId="2" borderId="1" xfId="0" applyFont="1" applyFill="1" applyBorder="1" applyAlignment="1">
      <alignment vertical="top"/>
    </xf>
    <xf numFmtId="0" fontId="6" fillId="0" borderId="1" xfId="0" applyFont="1" applyBorder="1" applyAlignment="1">
      <alignment vertical="top"/>
    </xf>
    <xf numFmtId="44" fontId="0" fillId="0" borderId="1" xfId="2" applyFont="1" applyBorder="1" applyAlignment="1">
      <alignment vertical="top"/>
    </xf>
    <xf numFmtId="0" fontId="0" fillId="0" borderId="0" xfId="0" applyBorder="1" applyAlignment="1">
      <alignment vertical="top"/>
    </xf>
    <xf numFmtId="0" fontId="0" fillId="0" borderId="1" xfId="0" applyNumberFormat="1" applyBorder="1" applyAlignment="1">
      <alignment vertical="top"/>
    </xf>
    <xf numFmtId="14" fontId="0" fillId="0" borderId="1" xfId="0" applyNumberFormat="1" applyBorder="1" applyAlignment="1">
      <alignment horizontal="right" vertical="top"/>
    </xf>
    <xf numFmtId="0" fontId="0" fillId="0" borderId="0" xfId="0" applyFill="1" applyBorder="1" applyAlignment="1">
      <alignment vertical="top"/>
    </xf>
    <xf numFmtId="0" fontId="16" fillId="0" borderId="6" xfId="0" applyFont="1" applyBorder="1" applyAlignment="1">
      <alignment vertical="top"/>
    </xf>
    <xf numFmtId="167" fontId="16" fillId="0" borderId="6" xfId="0" applyNumberFormat="1" applyFont="1" applyBorder="1" applyAlignment="1">
      <alignment vertical="top"/>
    </xf>
    <xf numFmtId="0" fontId="6" fillId="0" borderId="0" xfId="0" applyFont="1" applyBorder="1" applyAlignment="1">
      <alignment vertical="top"/>
    </xf>
    <xf numFmtId="0" fontId="6" fillId="0" borderId="0" xfId="0" applyFont="1" applyFill="1" applyBorder="1" applyAlignment="1">
      <alignment vertical="top"/>
    </xf>
    <xf numFmtId="167" fontId="2" fillId="7" borderId="1" xfId="0" applyNumberFormat="1" applyFont="1" applyFill="1" applyBorder="1" applyAlignment="1">
      <alignment horizontal="right" vertical="center" wrapText="1"/>
    </xf>
    <xf numFmtId="0" fontId="0" fillId="0" borderId="1" xfId="0" applyFont="1" applyBorder="1" applyAlignment="1">
      <alignment vertical="top"/>
    </xf>
    <xf numFmtId="1" fontId="0" fillId="0" borderId="0" xfId="0" applyNumberFormat="1"/>
    <xf numFmtId="0" fontId="0" fillId="0" borderId="2" xfId="0" applyBorder="1"/>
    <xf numFmtId="0" fontId="0" fillId="0" borderId="4" xfId="0" applyBorder="1"/>
    <xf numFmtId="0" fontId="2" fillId="2" borderId="1" xfId="0" applyFont="1" applyFill="1" applyBorder="1" applyAlignment="1">
      <alignment vertical="top" wrapText="1"/>
    </xf>
    <xf numFmtId="0" fontId="2" fillId="8" borderId="1" xfId="0" applyFont="1" applyFill="1" applyBorder="1" applyAlignment="1">
      <alignment vertical="top" wrapText="1"/>
    </xf>
    <xf numFmtId="0" fontId="2" fillId="9" borderId="1" xfId="0" applyFont="1" applyFill="1" applyBorder="1" applyAlignment="1">
      <alignment vertical="top" wrapText="1"/>
    </xf>
    <xf numFmtId="0" fontId="2" fillId="9" borderId="11" xfId="0" applyFont="1" applyFill="1" applyBorder="1" applyAlignment="1">
      <alignment vertical="top" wrapText="1"/>
    </xf>
    <xf numFmtId="0" fontId="0" fillId="0" borderId="1" xfId="0" applyBorder="1" applyAlignment="1">
      <alignment vertical="top" wrapText="1"/>
    </xf>
    <xf numFmtId="2" fontId="0" fillId="0" borderId="1" xfId="0" quotePrefix="1" applyNumberFormat="1" applyBorder="1" applyAlignment="1">
      <alignment vertical="top" wrapText="1"/>
    </xf>
    <xf numFmtId="9" fontId="0" fillId="0" borderId="1" xfId="3" applyFont="1" applyBorder="1"/>
    <xf numFmtId="9" fontId="0" fillId="0" borderId="0" xfId="3" applyFont="1" applyBorder="1"/>
    <xf numFmtId="167" fontId="0" fillId="0" borderId="0" xfId="0" applyNumberFormat="1"/>
    <xf numFmtId="17" fontId="0" fillId="0" borderId="1" xfId="0" applyNumberFormat="1" applyBorder="1" applyAlignment="1">
      <alignment vertical="top" wrapText="1"/>
    </xf>
    <xf numFmtId="1" fontId="16" fillId="0" borderId="1" xfId="0" applyNumberFormat="1" applyFont="1" applyBorder="1" applyAlignment="1">
      <alignment vertical="top" wrapText="1"/>
    </xf>
    <xf numFmtId="0" fontId="6" fillId="0" borderId="1" xfId="0" applyFont="1" applyBorder="1" applyAlignment="1">
      <alignment vertical="top" wrapText="1"/>
    </xf>
    <xf numFmtId="10" fontId="0" fillId="0" borderId="1" xfId="4" applyNumberFormat="1" applyFont="1" applyBorder="1" applyAlignment="1">
      <alignment vertical="top" wrapText="1"/>
    </xf>
    <xf numFmtId="9" fontId="0" fillId="0" borderId="1" xfId="3" applyFont="1" applyBorder="1" applyAlignment="1">
      <alignment vertical="top" wrapText="1"/>
    </xf>
    <xf numFmtId="2" fontId="6" fillId="0" borderId="1" xfId="5" quotePrefix="1" applyNumberFormat="1" applyBorder="1" applyAlignment="1">
      <alignment vertical="top" wrapText="1"/>
    </xf>
    <xf numFmtId="9" fontId="0" fillId="0" borderId="1" xfId="4" applyFont="1" applyBorder="1"/>
    <xf numFmtId="167" fontId="0" fillId="2" borderId="0" xfId="0" applyNumberFormat="1" applyFill="1"/>
    <xf numFmtId="0" fontId="6" fillId="0" borderId="1" xfId="5" applyBorder="1"/>
    <xf numFmtId="0" fontId="6" fillId="0" borderId="1" xfId="5" applyBorder="1" applyAlignment="1">
      <alignment vertical="top" wrapText="1"/>
    </xf>
    <xf numFmtId="10" fontId="0" fillId="0" borderId="1" xfId="3" applyNumberFormat="1" applyFont="1" applyBorder="1" applyAlignment="1">
      <alignment vertical="top" wrapText="1"/>
    </xf>
    <xf numFmtId="2" fontId="0" fillId="0" borderId="1" xfId="0" applyNumberFormat="1" applyBorder="1"/>
    <xf numFmtId="0" fontId="6" fillId="0" borderId="0" xfId="0" applyFont="1"/>
    <xf numFmtId="2" fontId="6" fillId="0" borderId="0" xfId="0" applyNumberFormat="1" applyFont="1" applyBorder="1"/>
    <xf numFmtId="2" fontId="0" fillId="0" borderId="1" xfId="0" applyNumberFormat="1" applyFill="1" applyBorder="1" applyAlignment="1">
      <alignment vertical="top" wrapText="1"/>
    </xf>
    <xf numFmtId="17" fontId="0" fillId="2" borderId="1" xfId="0" applyNumberFormat="1" applyFill="1" applyBorder="1" applyAlignment="1">
      <alignment vertical="top" wrapText="1"/>
    </xf>
    <xf numFmtId="1" fontId="16" fillId="2" borderId="1" xfId="0" applyNumberFormat="1" applyFont="1" applyFill="1" applyBorder="1" applyAlignment="1">
      <alignment vertical="top" wrapText="1"/>
    </xf>
    <xf numFmtId="10" fontId="6" fillId="2" borderId="1" xfId="3" applyNumberFormat="1" applyFont="1" applyFill="1" applyBorder="1" applyAlignment="1">
      <alignment vertical="top" wrapText="1"/>
    </xf>
    <xf numFmtId="9" fontId="6" fillId="2" borderId="1" xfId="3" applyFont="1" applyFill="1" applyBorder="1" applyAlignment="1">
      <alignment vertical="top" wrapText="1"/>
    </xf>
    <xf numFmtId="2" fontId="6" fillId="2" borderId="0" xfId="0" applyNumberFormat="1" applyFont="1" applyFill="1" applyBorder="1"/>
    <xf numFmtId="2" fontId="0" fillId="2" borderId="1" xfId="0" quotePrefix="1" applyNumberFormat="1" applyFill="1" applyBorder="1" applyAlignment="1">
      <alignment vertical="top" wrapText="1"/>
    </xf>
    <xf numFmtId="168" fontId="0" fillId="2" borderId="1" xfId="0" applyNumberFormat="1" applyFill="1" applyBorder="1"/>
    <xf numFmtId="9" fontId="6" fillId="2" borderId="1" xfId="3" applyFont="1" applyFill="1" applyBorder="1"/>
    <xf numFmtId="9" fontId="6" fillId="2" borderId="0" xfId="3" applyFont="1" applyFill="1" applyBorder="1"/>
    <xf numFmtId="0" fontId="0" fillId="0" borderId="1" xfId="0" applyFill="1" applyBorder="1" applyAlignment="1">
      <alignment vertical="top" wrapText="1"/>
    </xf>
    <xf numFmtId="2" fontId="0" fillId="0" borderId="0" xfId="0" applyNumberFormat="1"/>
    <xf numFmtId="166" fontId="0" fillId="0" borderId="0" xfId="0" applyNumberFormat="1"/>
    <xf numFmtId="17" fontId="0" fillId="0" borderId="1" xfId="0" applyNumberFormat="1" applyBorder="1" applyAlignment="1">
      <alignment vertical="top"/>
    </xf>
    <xf numFmtId="0" fontId="0" fillId="0" borderId="5" xfId="0" applyBorder="1" applyAlignment="1">
      <alignment vertical="top"/>
    </xf>
    <xf numFmtId="10" fontId="0" fillId="0" borderId="2" xfId="3" applyNumberFormat="1" applyFont="1" applyBorder="1" applyAlignment="1">
      <alignment vertical="top" wrapText="1"/>
    </xf>
    <xf numFmtId="2" fontId="0" fillId="0" borderId="12" xfId="0" applyNumberFormat="1" applyBorder="1" applyAlignment="1">
      <alignment vertical="top"/>
    </xf>
    <xf numFmtId="2" fontId="0" fillId="0" borderId="13" xfId="0" applyNumberFormat="1" applyBorder="1" applyAlignment="1">
      <alignment vertical="top"/>
    </xf>
    <xf numFmtId="2" fontId="0" fillId="0" borderId="14" xfId="0" applyNumberFormat="1" applyBorder="1" applyAlignment="1">
      <alignment vertical="top"/>
    </xf>
    <xf numFmtId="17" fontId="0" fillId="0" borderId="1" xfId="0" applyNumberFormat="1" applyBorder="1"/>
    <xf numFmtId="2" fontId="0" fillId="0" borderId="0" xfId="3" applyNumberFormat="1" applyFont="1" applyBorder="1"/>
    <xf numFmtId="0" fontId="0" fillId="0" borderId="1" xfId="0" applyFont="1" applyBorder="1" applyAlignment="1">
      <alignment horizontal="center" vertical="center"/>
    </xf>
    <xf numFmtId="0" fontId="0" fillId="0" borderId="1" xfId="0" applyFont="1" applyBorder="1" applyAlignment="1">
      <alignment horizontal="center" vertical="top"/>
    </xf>
    <xf numFmtId="0" fontId="18" fillId="0" borderId="1" xfId="0" applyNumberFormat="1" applyFont="1" applyBorder="1" applyAlignment="1">
      <alignment horizontal="right" vertical="center"/>
    </xf>
    <xf numFmtId="0" fontId="2" fillId="0" borderId="1" xfId="0" applyFont="1" applyBorder="1" applyAlignment="1">
      <alignment vertical="top"/>
    </xf>
    <xf numFmtId="0" fontId="2" fillId="0" borderId="1" xfId="0" applyFont="1" applyBorder="1" applyAlignment="1">
      <alignment horizontal="center" vertical="top"/>
    </xf>
    <xf numFmtId="0" fontId="2" fillId="10" borderId="1" xfId="0" applyFont="1" applyFill="1" applyBorder="1" applyAlignment="1">
      <alignment horizontal="center" vertical="center" wrapText="1"/>
    </xf>
    <xf numFmtId="0" fontId="2" fillId="10" borderId="1" xfId="0" applyFont="1" applyFill="1" applyBorder="1" applyAlignment="1">
      <alignment horizontal="center" vertical="top" wrapText="1"/>
    </xf>
    <xf numFmtId="0" fontId="2" fillId="10" borderId="1" xfId="0" applyFont="1" applyFill="1" applyBorder="1" applyAlignment="1">
      <alignment vertical="top" wrapText="1"/>
    </xf>
    <xf numFmtId="0" fontId="19" fillId="10" borderId="1" xfId="0" applyNumberFormat="1" applyFont="1" applyFill="1" applyBorder="1" applyAlignment="1">
      <alignment horizontal="right" vertical="center" wrapText="1"/>
    </xf>
    <xf numFmtId="0" fontId="0" fillId="0" borderId="2" xfId="0" applyFont="1" applyFill="1" applyBorder="1" applyAlignment="1">
      <alignment horizontal="center" wrapText="1"/>
    </xf>
    <xf numFmtId="17" fontId="0" fillId="0" borderId="1" xfId="0" applyNumberFormat="1" applyFont="1" applyFill="1" applyBorder="1" applyAlignment="1">
      <alignment horizontal="center" wrapText="1"/>
    </xf>
    <xf numFmtId="0" fontId="0" fillId="0" borderId="1" xfId="0" applyNumberFormat="1" applyFont="1" applyFill="1" applyBorder="1" applyAlignment="1">
      <alignment horizontal="center"/>
    </xf>
    <xf numFmtId="0" fontId="0" fillId="0" borderId="1" xfId="0" applyFont="1" applyFill="1" applyBorder="1" applyAlignment="1">
      <alignment horizontal="left" wrapText="1"/>
    </xf>
    <xf numFmtId="49" fontId="0" fillId="0" borderId="1" xfId="0" applyNumberFormat="1" applyFill="1" applyBorder="1" applyAlignment="1">
      <alignment horizontal="center"/>
    </xf>
    <xf numFmtId="0" fontId="0" fillId="0" borderId="1" xfId="0" applyFont="1" applyFill="1" applyBorder="1" applyAlignment="1">
      <alignment wrapText="1"/>
    </xf>
    <xf numFmtId="0" fontId="0" fillId="0" borderId="1" xfId="0" applyFont="1" applyFill="1" applyBorder="1" applyAlignment="1">
      <alignment horizontal="center" wrapText="1"/>
    </xf>
    <xf numFmtId="1" fontId="18" fillId="0" borderId="1" xfId="0" applyNumberFormat="1" applyFont="1" applyFill="1" applyBorder="1" applyAlignment="1">
      <alignment horizontal="right" vertical="center" wrapText="1"/>
    </xf>
    <xf numFmtId="2" fontId="0" fillId="0" borderId="1" xfId="0" applyNumberFormat="1" applyFill="1" applyBorder="1" applyAlignment="1">
      <alignment horizontal="center"/>
    </xf>
    <xf numFmtId="0" fontId="0" fillId="0" borderId="2" xfId="0" applyFont="1" applyBorder="1" applyAlignment="1">
      <alignment horizontal="center" vertical="center"/>
    </xf>
    <xf numFmtId="17" fontId="0" fillId="0" borderId="1" xfId="0" applyNumberFormat="1" applyFont="1" applyFill="1" applyBorder="1" applyAlignment="1">
      <alignment horizontal="center" vertical="top"/>
    </xf>
    <xf numFmtId="0" fontId="0" fillId="0" borderId="1" xfId="0" applyNumberFormat="1" applyFont="1" applyFill="1" applyBorder="1" applyAlignment="1">
      <alignment horizontal="center" vertical="center"/>
    </xf>
    <xf numFmtId="0" fontId="0" fillId="0" borderId="1" xfId="0" applyFont="1" applyFill="1" applyBorder="1" applyAlignment="1">
      <alignment horizontal="center" vertical="top"/>
    </xf>
    <xf numFmtId="2" fontId="0" fillId="0" borderId="1" xfId="0" applyNumberFormat="1" applyFont="1" applyFill="1" applyBorder="1" applyAlignment="1">
      <alignment horizontal="center" vertical="top"/>
    </xf>
    <xf numFmtId="0" fontId="0" fillId="0" borderId="1" xfId="0" applyFont="1" applyFill="1" applyBorder="1" applyAlignment="1">
      <alignment horizontal="center" vertical="top" wrapText="1"/>
    </xf>
    <xf numFmtId="1" fontId="18" fillId="0" borderId="1" xfId="1" applyNumberFormat="1" applyFont="1" applyFill="1" applyBorder="1" applyAlignment="1">
      <alignment horizontal="right" vertical="center"/>
    </xf>
    <xf numFmtId="2" fontId="0" fillId="0" borderId="1" xfId="0" applyNumberFormat="1" applyFill="1" applyBorder="1" applyAlignment="1">
      <alignment horizontal="center" vertical="top"/>
    </xf>
    <xf numFmtId="14" fontId="0" fillId="0" borderId="1" xfId="0" applyNumberFormat="1" applyFont="1" applyFill="1" applyBorder="1" applyAlignment="1">
      <alignment horizontal="center" vertical="top"/>
    </xf>
    <xf numFmtId="14" fontId="0" fillId="0" borderId="1" xfId="0" applyNumberFormat="1" applyFont="1" applyBorder="1" applyAlignment="1">
      <alignment horizontal="center" vertical="top"/>
    </xf>
    <xf numFmtId="0" fontId="0" fillId="0" borderId="1" xfId="0" applyFont="1" applyBorder="1" applyAlignment="1">
      <alignment horizontal="left" vertical="top" wrapText="1"/>
    </xf>
    <xf numFmtId="0" fontId="0" fillId="0" borderId="1" xfId="0" applyFont="1" applyFill="1" applyBorder="1" applyAlignment="1">
      <alignment vertical="top"/>
    </xf>
    <xf numFmtId="1" fontId="0" fillId="0" borderId="1" xfId="0" applyNumberFormat="1" applyFont="1" applyFill="1" applyBorder="1" applyAlignment="1">
      <alignment horizontal="center" vertical="top"/>
    </xf>
    <xf numFmtId="1" fontId="0" fillId="0" borderId="1" xfId="0" applyNumberFormat="1" applyFont="1" applyBorder="1" applyAlignment="1">
      <alignment horizontal="center" vertical="top"/>
    </xf>
    <xf numFmtId="17" fontId="0" fillId="0" borderId="1" xfId="0" applyNumberFormat="1" applyFont="1" applyBorder="1" applyAlignment="1">
      <alignment horizontal="center" vertical="top"/>
    </xf>
    <xf numFmtId="49" fontId="0" fillId="0" borderId="1" xfId="0" applyNumberFormat="1" applyFont="1" applyFill="1" applyBorder="1" applyAlignment="1">
      <alignment horizontal="left" vertical="top"/>
    </xf>
    <xf numFmtId="1" fontId="18" fillId="0" borderId="1" xfId="0" applyNumberFormat="1" applyFont="1" applyBorder="1" applyAlignment="1">
      <alignment horizontal="right" vertical="center"/>
    </xf>
    <xf numFmtId="0" fontId="0" fillId="0" borderId="1" xfId="0" applyFont="1" applyBorder="1" applyAlignment="1">
      <alignment horizontal="right" vertical="center"/>
    </xf>
    <xf numFmtId="0" fontId="0" fillId="0" borderId="1" xfId="0" applyNumberFormat="1" applyFont="1" applyFill="1" applyBorder="1" applyAlignment="1">
      <alignment horizontal="center" vertical="top"/>
    </xf>
    <xf numFmtId="49" fontId="0" fillId="0" borderId="1" xfId="0" applyNumberFormat="1" applyFont="1" applyFill="1" applyBorder="1" applyAlignment="1">
      <alignment horizontal="left" vertical="center"/>
    </xf>
    <xf numFmtId="0" fontId="0" fillId="0" borderId="1" xfId="0" applyFont="1" applyBorder="1" applyAlignment="1">
      <alignment horizontal="left" vertical="top"/>
    </xf>
    <xf numFmtId="1" fontId="18" fillId="0" borderId="1" xfId="1" applyNumberFormat="1" applyFont="1" applyFill="1" applyBorder="1" applyAlignment="1">
      <alignment horizontal="center" vertical="top"/>
    </xf>
    <xf numFmtId="0" fontId="2" fillId="0" borderId="1" xfId="0" applyFont="1" applyFill="1" applyBorder="1" applyAlignment="1">
      <alignment horizontal="center" vertical="center"/>
    </xf>
    <xf numFmtId="1" fontId="18" fillId="0" borderId="1" xfId="1" applyNumberFormat="1" applyFont="1" applyFill="1" applyBorder="1" applyAlignment="1">
      <alignment horizontal="right" vertical="top"/>
    </xf>
    <xf numFmtId="0" fontId="0" fillId="0" borderId="1" xfId="0" applyFont="1" applyFill="1" applyBorder="1" applyAlignment="1">
      <alignment vertical="center"/>
    </xf>
    <xf numFmtId="0" fontId="0" fillId="0" borderId="1" xfId="0" applyFont="1" applyFill="1" applyBorder="1" applyAlignment="1">
      <alignment horizontal="center" vertical="center"/>
    </xf>
    <xf numFmtId="1" fontId="0" fillId="0" borderId="1" xfId="0" applyNumberFormat="1" applyFont="1" applyBorder="1" applyAlignment="1">
      <alignment horizontal="center" vertical="center"/>
    </xf>
    <xf numFmtId="0" fontId="0" fillId="0" borderId="2" xfId="0" applyFont="1" applyFill="1" applyBorder="1" applyAlignment="1">
      <alignment horizontal="center" vertical="center" wrapText="1"/>
    </xf>
    <xf numFmtId="17" fontId="0" fillId="0" borderId="1" xfId="0" applyNumberFormat="1" applyFont="1" applyFill="1" applyBorder="1" applyAlignment="1">
      <alignment horizontal="center" vertical="center"/>
    </xf>
    <xf numFmtId="49" fontId="0" fillId="0" borderId="1" xfId="0" applyNumberFormat="1" applyFill="1" applyBorder="1" applyAlignment="1">
      <alignment vertical="center"/>
    </xf>
    <xf numFmtId="49" fontId="0" fillId="0" borderId="1" xfId="0" applyNumberFormat="1" applyFill="1" applyBorder="1" applyAlignment="1">
      <alignment horizontal="center" vertical="center"/>
    </xf>
    <xf numFmtId="1" fontId="18" fillId="0" borderId="1" xfId="1" applyNumberFormat="1" applyFont="1" applyFill="1" applyBorder="1" applyAlignment="1">
      <alignment horizontal="center" vertical="center"/>
    </xf>
    <xf numFmtId="0" fontId="0" fillId="0" borderId="1" xfId="0" applyFont="1" applyBorder="1"/>
    <xf numFmtId="0" fontId="0" fillId="0" borderId="1" xfId="0" applyFont="1" applyBorder="1" applyAlignment="1">
      <alignment horizontal="center"/>
    </xf>
    <xf numFmtId="0" fontId="0" fillId="0" borderId="1" xfId="0" applyFont="1" applyBorder="1" applyAlignment="1">
      <alignment horizontal="left" vertical="center" wrapText="1"/>
    </xf>
    <xf numFmtId="0" fontId="0" fillId="0" borderId="1" xfId="0" applyFont="1" applyFill="1" applyBorder="1" applyAlignment="1">
      <alignment horizontal="left" vertical="top"/>
    </xf>
    <xf numFmtId="0" fontId="0" fillId="0" borderId="1" xfId="0" applyFont="1" applyBorder="1" applyAlignment="1">
      <alignment vertical="center"/>
    </xf>
    <xf numFmtId="1" fontId="18" fillId="0" borderId="1" xfId="0" applyNumberFormat="1" applyFont="1" applyBorder="1" applyAlignment="1">
      <alignment horizontal="center" vertical="center"/>
    </xf>
    <xf numFmtId="17" fontId="0" fillId="0" borderId="1" xfId="0" applyNumberFormat="1" applyFont="1" applyFill="1" applyBorder="1" applyAlignment="1">
      <alignment horizontal="center" vertical="center" wrapText="1"/>
    </xf>
    <xf numFmtId="0" fontId="0" fillId="0" borderId="1" xfId="0" applyFont="1" applyFill="1" applyBorder="1" applyAlignment="1">
      <alignment horizontal="left" vertical="center" wrapText="1"/>
    </xf>
    <xf numFmtId="49" fontId="0" fillId="0" borderId="1" xfId="0" applyNumberFormat="1" applyFill="1" applyBorder="1"/>
    <xf numFmtId="1" fontId="18" fillId="0" borderId="1" xfId="0" applyNumberFormat="1" applyFont="1" applyFill="1" applyBorder="1" applyAlignment="1">
      <alignment horizontal="center" vertical="center" wrapText="1"/>
    </xf>
    <xf numFmtId="0" fontId="0" fillId="0" borderId="1" xfId="0" applyBorder="1" applyAlignment="1">
      <alignment horizontal="center"/>
    </xf>
    <xf numFmtId="2" fontId="0" fillId="0" borderId="1" xfId="0" applyNumberFormat="1" applyBorder="1" applyAlignment="1">
      <alignment horizontal="center"/>
    </xf>
    <xf numFmtId="1" fontId="0" fillId="0" borderId="1" xfId="0" applyNumberFormat="1" applyFill="1" applyBorder="1" applyAlignment="1">
      <alignment horizontal="right" vertical="center"/>
    </xf>
    <xf numFmtId="0" fontId="0" fillId="0" borderId="1" xfId="0" applyBorder="1" applyAlignment="1">
      <alignment vertical="center"/>
    </xf>
    <xf numFmtId="1" fontId="0" fillId="0" borderId="1" xfId="0" applyNumberFormat="1" applyBorder="1" applyAlignment="1">
      <alignment horizontal="right" vertical="center"/>
    </xf>
    <xf numFmtId="0" fontId="0" fillId="0" borderId="1" xfId="0" applyFont="1" applyBorder="1" applyAlignment="1">
      <alignment vertical="center" wrapText="1"/>
    </xf>
    <xf numFmtId="17" fontId="0" fillId="0" borderId="1" xfId="0" applyNumberFormat="1" applyBorder="1" applyAlignment="1">
      <alignment horizontal="center" vertical="center"/>
    </xf>
    <xf numFmtId="0" fontId="0" fillId="0" borderId="1" xfId="0" applyBorder="1" applyAlignment="1">
      <alignment horizontal="center" vertical="center"/>
    </xf>
    <xf numFmtId="1" fontId="0" fillId="0" borderId="1" xfId="0" applyNumberFormat="1" applyFont="1" applyBorder="1" applyAlignment="1">
      <alignment horizontal="right" vertical="center"/>
    </xf>
    <xf numFmtId="0" fontId="2" fillId="0" borderId="6" xfId="0" applyFont="1" applyBorder="1" applyAlignment="1">
      <alignment horizontal="center" vertical="center"/>
    </xf>
    <xf numFmtId="1" fontId="19" fillId="0" borderId="6" xfId="0" applyNumberFormat="1" applyFont="1" applyBorder="1" applyAlignment="1">
      <alignment horizontal="right" vertical="center"/>
    </xf>
    <xf numFmtId="0" fontId="0" fillId="0" borderId="0" xfId="0" applyAlignment="1">
      <alignment horizontal="right" vertical="center"/>
    </xf>
    <xf numFmtId="17" fontId="0" fillId="2" borderId="1" xfId="0" applyNumberFormat="1" applyFont="1" applyFill="1" applyBorder="1" applyAlignment="1">
      <alignment horizontal="center" vertical="top"/>
    </xf>
    <xf numFmtId="0" fontId="0" fillId="2" borderId="1" xfId="0" applyFont="1" applyFill="1" applyBorder="1" applyAlignment="1">
      <alignment horizontal="center" vertical="center"/>
    </xf>
    <xf numFmtId="1" fontId="0" fillId="0" borderId="0" xfId="0" applyNumberFormat="1" applyAlignment="1">
      <alignment horizontal="right" vertical="center"/>
    </xf>
    <xf numFmtId="3" fontId="0" fillId="0" borderId="0" xfId="0" applyNumberFormat="1"/>
    <xf numFmtId="169" fontId="0" fillId="2" borderId="0" xfId="0" applyNumberFormat="1" applyFill="1"/>
    <xf numFmtId="169" fontId="0" fillId="0" borderId="0" xfId="0" applyNumberFormat="1"/>
    <xf numFmtId="0" fontId="2" fillId="0" borderId="0" xfId="0" applyFont="1" applyAlignment="1">
      <alignment vertical="top"/>
    </xf>
    <xf numFmtId="0" fontId="0" fillId="9" borderId="1" xfId="0" applyFill="1" applyBorder="1" applyAlignment="1">
      <alignment vertical="top" wrapText="1"/>
    </xf>
    <xf numFmtId="0" fontId="2" fillId="0" borderId="0" xfId="0" applyFont="1" applyFill="1" applyBorder="1" applyAlignment="1">
      <alignment vertical="top" wrapText="1"/>
    </xf>
    <xf numFmtId="9" fontId="0" fillId="0" borderId="1" xfId="3" applyFont="1" applyBorder="1" applyAlignment="1">
      <alignment vertical="top"/>
    </xf>
    <xf numFmtId="9" fontId="0" fillId="0" borderId="1" xfId="0" applyNumberFormat="1" applyBorder="1" applyAlignment="1">
      <alignment vertical="top"/>
    </xf>
    <xf numFmtId="9" fontId="20" fillId="9" borderId="1" xfId="3" applyFont="1" applyFill="1" applyBorder="1" applyAlignment="1">
      <alignment vertical="top"/>
    </xf>
    <xf numFmtId="0" fontId="0" fillId="0" borderId="0" xfId="0" applyNumberFormat="1" applyFill="1" applyBorder="1" applyAlignment="1">
      <alignment vertical="top"/>
    </xf>
    <xf numFmtId="9" fontId="0" fillId="0" borderId="0" xfId="3" applyFont="1" applyFill="1" applyBorder="1" applyAlignment="1">
      <alignment vertical="top"/>
    </xf>
    <xf numFmtId="9" fontId="0" fillId="0" borderId="0" xfId="0" applyNumberFormat="1" applyFill="1" applyBorder="1" applyAlignment="1">
      <alignment vertical="top"/>
    </xf>
    <xf numFmtId="0" fontId="2" fillId="3" borderId="1" xfId="0" applyFont="1" applyFill="1" applyBorder="1" applyAlignment="1">
      <alignment vertical="top"/>
    </xf>
    <xf numFmtId="0" fontId="2" fillId="3" borderId="1" xfId="0" applyNumberFormat="1" applyFont="1" applyFill="1" applyBorder="1" applyAlignment="1">
      <alignment vertical="top"/>
    </xf>
    <xf numFmtId="9" fontId="0" fillId="2" borderId="1" xfId="0" applyNumberFormat="1" applyFill="1" applyBorder="1" applyAlignment="1">
      <alignment vertical="top"/>
    </xf>
    <xf numFmtId="9" fontId="0" fillId="0" borderId="0" xfId="3" applyFont="1" applyBorder="1" applyAlignment="1">
      <alignment vertical="top"/>
    </xf>
    <xf numFmtId="9" fontId="0" fillId="0" borderId="0" xfId="0" applyNumberFormat="1" applyBorder="1" applyAlignment="1">
      <alignment vertical="top"/>
    </xf>
    <xf numFmtId="9" fontId="0" fillId="0" borderId="0" xfId="3" applyFont="1" applyAlignment="1">
      <alignment vertical="top"/>
    </xf>
    <xf numFmtId="170" fontId="0" fillId="0" borderId="0" xfId="3" applyNumberFormat="1" applyFont="1" applyAlignment="1">
      <alignment vertical="top"/>
    </xf>
    <xf numFmtId="0" fontId="2" fillId="3" borderId="0" xfId="0" applyFont="1" applyFill="1" applyBorder="1" applyAlignment="1">
      <alignment horizontal="right" vertical="top"/>
    </xf>
    <xf numFmtId="0" fontId="2" fillId="3" borderId="5" xfId="0" applyNumberFormat="1" applyFont="1" applyFill="1" applyBorder="1" applyAlignment="1">
      <alignment vertical="top"/>
    </xf>
    <xf numFmtId="9" fontId="0" fillId="0" borderId="5" xfId="3" applyFont="1" applyBorder="1" applyAlignment="1">
      <alignment vertical="top"/>
    </xf>
    <xf numFmtId="9" fontId="0" fillId="2" borderId="5" xfId="0" applyNumberFormat="1" applyFill="1" applyBorder="1" applyAlignment="1">
      <alignment vertical="top"/>
    </xf>
    <xf numFmtId="0" fontId="0" fillId="9" borderId="7" xfId="0" applyFill="1" applyBorder="1" applyAlignment="1">
      <alignment vertical="top"/>
    </xf>
    <xf numFmtId="0" fontId="0" fillId="9" borderId="8" xfId="0" applyFill="1" applyBorder="1" applyAlignment="1">
      <alignment vertical="top"/>
    </xf>
    <xf numFmtId="0" fontId="0" fillId="9" borderId="15" xfId="0" applyFill="1" applyBorder="1" applyAlignment="1">
      <alignment vertical="top"/>
    </xf>
    <xf numFmtId="9" fontId="20" fillId="9" borderId="16" xfId="3" applyFont="1" applyFill="1" applyBorder="1" applyAlignment="1">
      <alignment vertical="top"/>
    </xf>
    <xf numFmtId="0" fontId="0" fillId="0" borderId="1" xfId="0" applyNumberFormat="1" applyBorder="1"/>
    <xf numFmtId="0" fontId="0" fillId="0" borderId="0" xfId="0" applyAlignment="1">
      <alignment horizontal="center"/>
    </xf>
    <xf numFmtId="0" fontId="2" fillId="0" borderId="2" xfId="0" applyFont="1" applyBorder="1" applyAlignment="1">
      <alignment horizontal="center" vertical="top" wrapText="1"/>
    </xf>
    <xf numFmtId="0" fontId="2" fillId="0" borderId="4" xfId="0" applyFont="1" applyBorder="1" applyAlignment="1">
      <alignment horizontal="center" vertical="top" wrapText="1"/>
    </xf>
  </cellXfs>
  <cellStyles count="6">
    <cellStyle name="Comma" xfId="1" builtinId="3"/>
    <cellStyle name="Currency" xfId="2" builtinId="4"/>
    <cellStyle name="Normal" xfId="0" builtinId="0"/>
    <cellStyle name="Normal 2" xfId="5"/>
    <cellStyle name="Percent" xfId="3" builtinId="5"/>
    <cellStyle name="Percent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36"/>
  <sheetViews>
    <sheetView tabSelected="1" workbookViewId="0">
      <selection activeCell="G8" sqref="G8"/>
    </sheetView>
  </sheetViews>
  <sheetFormatPr defaultRowHeight="12.75" x14ac:dyDescent="0.2"/>
  <cols>
    <col min="1" max="1" width="1.7109375" style="6" customWidth="1"/>
    <col min="2" max="2" width="3.5703125" style="6" customWidth="1"/>
    <col min="3" max="3" width="19.5703125" style="6" customWidth="1"/>
    <col min="4" max="4" width="17.140625" style="6" customWidth="1"/>
    <col min="5" max="5" width="11.85546875" style="6" customWidth="1"/>
    <col min="6" max="6" width="7.140625" style="6" customWidth="1"/>
    <col min="7" max="7" width="10" style="6" customWidth="1"/>
    <col min="8" max="8" width="6.140625" style="6" customWidth="1"/>
    <col min="9" max="9" width="10" style="6" customWidth="1"/>
    <col min="10" max="10" width="12.42578125" style="6" customWidth="1"/>
    <col min="11" max="11" width="63.42578125" style="6" customWidth="1"/>
    <col min="12" max="14" width="11.5703125" style="6" bestFit="1" customWidth="1"/>
    <col min="15" max="16384" width="9.140625" style="6"/>
  </cols>
  <sheetData>
    <row r="2" spans="2:11" ht="18.75" x14ac:dyDescent="0.2">
      <c r="C2" s="7" t="s">
        <v>151</v>
      </c>
    </row>
    <row r="3" spans="2:11" ht="15" customHeight="1" x14ac:dyDescent="0.2">
      <c r="K3" s="8" t="s">
        <v>80</v>
      </c>
    </row>
    <row r="4" spans="2:11" ht="45" x14ac:dyDescent="0.2">
      <c r="B4" s="9" t="s">
        <v>81</v>
      </c>
      <c r="C4" s="9" t="s">
        <v>74</v>
      </c>
      <c r="D4" s="9" t="s">
        <v>82</v>
      </c>
      <c r="E4" s="9" t="s">
        <v>83</v>
      </c>
      <c r="F4" s="9" t="s">
        <v>84</v>
      </c>
      <c r="G4" s="9" t="s">
        <v>152</v>
      </c>
      <c r="H4" s="9" t="s">
        <v>157</v>
      </c>
      <c r="I4" s="9" t="s">
        <v>161</v>
      </c>
      <c r="J4" s="9" t="s">
        <v>156</v>
      </c>
      <c r="K4" s="9" t="s">
        <v>85</v>
      </c>
    </row>
    <row r="5" spans="2:11" ht="24" x14ac:dyDescent="0.2">
      <c r="B5" s="10">
        <v>1</v>
      </c>
      <c r="C5" s="11" t="s">
        <v>79</v>
      </c>
      <c r="D5" s="10" t="s">
        <v>86</v>
      </c>
      <c r="E5" s="12">
        <v>42461</v>
      </c>
      <c r="F5" s="12" t="s">
        <v>87</v>
      </c>
      <c r="G5" s="10">
        <v>14874</v>
      </c>
      <c r="H5" s="10" t="s">
        <v>22</v>
      </c>
      <c r="I5" s="10">
        <f>J5*100000/G5</f>
        <v>276.56685216687293</v>
      </c>
      <c r="J5" s="15">
        <f>'CIP-Coal'!S13/100000</f>
        <v>41.136553591300675</v>
      </c>
      <c r="K5" s="11" t="s">
        <v>88</v>
      </c>
    </row>
    <row r="6" spans="2:11" ht="48" x14ac:dyDescent="0.2">
      <c r="B6" s="10">
        <v>2</v>
      </c>
      <c r="C6" s="11" t="s">
        <v>89</v>
      </c>
      <c r="D6" s="10" t="s">
        <v>90</v>
      </c>
      <c r="E6" s="14" t="s">
        <v>91</v>
      </c>
      <c r="F6" s="12" t="s">
        <v>87</v>
      </c>
      <c r="G6" s="10">
        <v>23500</v>
      </c>
      <c r="H6" s="10" t="s">
        <v>158</v>
      </c>
      <c r="I6" s="10">
        <v>150</v>
      </c>
      <c r="J6" s="13">
        <f>G6*I6/100000</f>
        <v>35.25</v>
      </c>
      <c r="K6" s="10" t="s">
        <v>92</v>
      </c>
    </row>
    <row r="7" spans="2:11" ht="36" x14ac:dyDescent="0.2">
      <c r="B7" s="10">
        <v>3</v>
      </c>
      <c r="C7" s="10" t="s">
        <v>93</v>
      </c>
      <c r="D7" s="10"/>
      <c r="E7" s="12">
        <v>42309</v>
      </c>
      <c r="F7" s="12" t="s">
        <v>87</v>
      </c>
      <c r="G7" s="10">
        <v>1732</v>
      </c>
      <c r="H7" s="10" t="s">
        <v>22</v>
      </c>
      <c r="I7" s="10">
        <v>1365</v>
      </c>
      <c r="J7" s="13">
        <f>G7*I7/100000</f>
        <v>23.6418</v>
      </c>
      <c r="K7" s="10" t="s">
        <v>94</v>
      </c>
    </row>
    <row r="8" spans="2:11" ht="36" x14ac:dyDescent="0.2">
      <c r="B8" s="10">
        <v>4</v>
      </c>
      <c r="C8" s="11" t="s">
        <v>147</v>
      </c>
      <c r="D8" s="10" t="s">
        <v>148</v>
      </c>
      <c r="E8" s="12">
        <v>42491</v>
      </c>
      <c r="F8" s="12" t="s">
        <v>102</v>
      </c>
      <c r="G8" s="10">
        <v>30000</v>
      </c>
      <c r="H8" s="10" t="s">
        <v>158</v>
      </c>
      <c r="I8" s="10">
        <f>67*1.5</f>
        <v>100.5</v>
      </c>
      <c r="J8" s="13">
        <f>G8*I8/100000</f>
        <v>30.15</v>
      </c>
      <c r="K8" s="10" t="s">
        <v>149</v>
      </c>
    </row>
    <row r="9" spans="2:11" ht="24" x14ac:dyDescent="0.2">
      <c r="B9" s="10">
        <v>5</v>
      </c>
      <c r="C9" s="10" t="s">
        <v>95</v>
      </c>
      <c r="D9" s="10" t="s">
        <v>96</v>
      </c>
      <c r="E9" s="12">
        <v>42430</v>
      </c>
      <c r="F9" s="12" t="s">
        <v>87</v>
      </c>
      <c r="G9" s="10">
        <v>209</v>
      </c>
      <c r="H9" s="10" t="s">
        <v>159</v>
      </c>
      <c r="I9" s="10">
        <v>10000</v>
      </c>
      <c r="J9" s="13">
        <f>G9*I9/100000</f>
        <v>20.9</v>
      </c>
      <c r="K9" s="10" t="s">
        <v>154</v>
      </c>
    </row>
    <row r="10" spans="2:11" ht="36" x14ac:dyDescent="0.2">
      <c r="B10" s="10">
        <v>6</v>
      </c>
      <c r="C10" s="11" t="s">
        <v>97</v>
      </c>
      <c r="D10" s="10" t="s">
        <v>98</v>
      </c>
      <c r="E10" s="12">
        <v>42064</v>
      </c>
      <c r="F10" s="12" t="s">
        <v>87</v>
      </c>
      <c r="G10" s="10">
        <v>1</v>
      </c>
      <c r="H10" s="10" t="s">
        <v>109</v>
      </c>
      <c r="I10" s="10"/>
      <c r="J10" s="13">
        <f>84.23*0.15/0.85</f>
        <v>14.864117647058825</v>
      </c>
      <c r="K10" s="10" t="s">
        <v>99</v>
      </c>
    </row>
    <row r="11" spans="2:11" ht="36" x14ac:dyDescent="0.2">
      <c r="B11" s="10">
        <v>7</v>
      </c>
      <c r="C11" s="10" t="s">
        <v>100</v>
      </c>
      <c r="D11" s="10" t="s">
        <v>101</v>
      </c>
      <c r="E11" s="12">
        <v>42917</v>
      </c>
      <c r="F11" s="12" t="s">
        <v>102</v>
      </c>
      <c r="G11" s="10">
        <v>2000</v>
      </c>
      <c r="H11" s="10" t="s">
        <v>160</v>
      </c>
      <c r="I11" s="10">
        <f>J11*100000/G11</f>
        <v>315</v>
      </c>
      <c r="J11" s="13">
        <f>315*2000/100000</f>
        <v>6.3</v>
      </c>
      <c r="K11" s="10" t="s">
        <v>103</v>
      </c>
    </row>
    <row r="12" spans="2:11" ht="36" x14ac:dyDescent="0.2">
      <c r="B12" s="10">
        <v>8</v>
      </c>
      <c r="C12" s="10" t="s">
        <v>104</v>
      </c>
      <c r="D12" s="10" t="s">
        <v>105</v>
      </c>
      <c r="E12" s="12">
        <v>42186</v>
      </c>
      <c r="F12" s="12" t="s">
        <v>87</v>
      </c>
      <c r="G12" s="10">
        <v>10966</v>
      </c>
      <c r="H12" s="10" t="s">
        <v>159</v>
      </c>
      <c r="I12" s="10">
        <v>45</v>
      </c>
      <c r="J12" s="13">
        <f>G12*I12/100000</f>
        <v>4.9347000000000003</v>
      </c>
      <c r="K12" s="11" t="s">
        <v>106</v>
      </c>
    </row>
    <row r="13" spans="2:11" ht="60" customHeight="1" x14ac:dyDescent="0.2">
      <c r="B13" s="10">
        <v>9</v>
      </c>
      <c r="C13" s="11" t="s">
        <v>107</v>
      </c>
      <c r="D13" s="10" t="s">
        <v>108</v>
      </c>
      <c r="E13" s="12">
        <v>42430</v>
      </c>
      <c r="F13" s="12" t="s">
        <v>87</v>
      </c>
      <c r="G13" s="10" t="s">
        <v>109</v>
      </c>
      <c r="H13" s="10"/>
      <c r="I13" s="10"/>
      <c r="J13" s="15">
        <f>(25.11+47.87)*(0.1/0.9)</f>
        <v>8.1088888888888881</v>
      </c>
      <c r="K13" s="16" t="s">
        <v>153</v>
      </c>
    </row>
    <row r="14" spans="2:11" ht="60" x14ac:dyDescent="0.2">
      <c r="B14" s="10">
        <v>10</v>
      </c>
      <c r="C14" s="10" t="s">
        <v>110</v>
      </c>
      <c r="D14" s="10" t="s">
        <v>11</v>
      </c>
      <c r="E14" s="12">
        <v>42248</v>
      </c>
      <c r="F14" s="12" t="s">
        <v>87</v>
      </c>
      <c r="G14" s="10"/>
      <c r="H14" s="10"/>
      <c r="I14" s="10"/>
      <c r="J14" s="13">
        <v>5</v>
      </c>
      <c r="K14" s="16" t="s">
        <v>155</v>
      </c>
    </row>
    <row r="15" spans="2:11" x14ac:dyDescent="0.2">
      <c r="B15" s="10">
        <v>11</v>
      </c>
      <c r="C15" s="11" t="s">
        <v>113</v>
      </c>
      <c r="D15" s="10" t="s">
        <v>114</v>
      </c>
      <c r="E15" s="12" t="s">
        <v>115</v>
      </c>
      <c r="F15" s="12" t="s">
        <v>87</v>
      </c>
      <c r="G15" s="10">
        <v>124173</v>
      </c>
      <c r="H15" s="10" t="s">
        <v>159</v>
      </c>
      <c r="I15" s="24">
        <v>4.46</v>
      </c>
      <c r="J15" s="13">
        <f>G15*I15/100000</f>
        <v>5.5381157999999999</v>
      </c>
      <c r="K15" s="11" t="s">
        <v>116</v>
      </c>
    </row>
    <row r="16" spans="2:11" ht="24" x14ac:dyDescent="0.2">
      <c r="B16" s="10">
        <v>12</v>
      </c>
      <c r="C16" s="10" t="s">
        <v>119</v>
      </c>
      <c r="D16" s="10" t="s">
        <v>120</v>
      </c>
      <c r="E16" s="12">
        <v>42461</v>
      </c>
      <c r="F16" s="12" t="s">
        <v>102</v>
      </c>
      <c r="G16" s="10">
        <v>1</v>
      </c>
      <c r="H16" s="10" t="s">
        <v>109</v>
      </c>
      <c r="I16" s="24"/>
      <c r="J16" s="13">
        <f>2.4+0.5</f>
        <v>2.9</v>
      </c>
      <c r="K16" s="11" t="s">
        <v>121</v>
      </c>
    </row>
    <row r="17" spans="2:13" ht="36" x14ac:dyDescent="0.2">
      <c r="B17" s="10">
        <v>13</v>
      </c>
      <c r="C17" s="10" t="s">
        <v>122</v>
      </c>
      <c r="D17" s="10" t="s">
        <v>105</v>
      </c>
      <c r="E17" s="12">
        <v>42248</v>
      </c>
      <c r="F17" s="12" t="s">
        <v>87</v>
      </c>
      <c r="G17" s="10">
        <v>2535</v>
      </c>
      <c r="H17" s="10" t="s">
        <v>159</v>
      </c>
      <c r="I17" s="10">
        <v>108</v>
      </c>
      <c r="J17" s="13">
        <f>G17*I17/100000</f>
        <v>2.7378</v>
      </c>
      <c r="K17" s="11" t="s">
        <v>123</v>
      </c>
    </row>
    <row r="18" spans="2:13" ht="36" x14ac:dyDescent="0.2">
      <c r="B18" s="10">
        <v>14</v>
      </c>
      <c r="C18" s="10" t="s">
        <v>126</v>
      </c>
      <c r="D18" s="10" t="s">
        <v>127</v>
      </c>
      <c r="E18" s="12">
        <v>42248</v>
      </c>
      <c r="F18" s="12" t="s">
        <v>87</v>
      </c>
      <c r="G18" s="10">
        <v>164508</v>
      </c>
      <c r="H18" s="10" t="s">
        <v>159</v>
      </c>
      <c r="I18" s="24">
        <v>1.5</v>
      </c>
      <c r="J18" s="13">
        <f>G18*I18/100000</f>
        <v>2.4676200000000001</v>
      </c>
      <c r="K18" s="11" t="s">
        <v>128</v>
      </c>
    </row>
    <row r="19" spans="2:13" ht="36" x14ac:dyDescent="0.2">
      <c r="B19" s="10">
        <v>15</v>
      </c>
      <c r="C19" s="10" t="s">
        <v>129</v>
      </c>
      <c r="D19" s="10" t="s">
        <v>11</v>
      </c>
      <c r="E19" s="12">
        <v>42309</v>
      </c>
      <c r="F19" s="12" t="s">
        <v>87</v>
      </c>
      <c r="G19" s="10">
        <v>7686</v>
      </c>
      <c r="H19" s="10" t="s">
        <v>158</v>
      </c>
      <c r="I19" s="10">
        <v>123</v>
      </c>
      <c r="J19" s="15">
        <f>7686*123*0.3/100000</f>
        <v>2.8361339999999995</v>
      </c>
      <c r="K19" s="10" t="s">
        <v>130</v>
      </c>
    </row>
    <row r="20" spans="2:13" ht="36" x14ac:dyDescent="0.2">
      <c r="B20" s="10">
        <v>16</v>
      </c>
      <c r="C20" s="10" t="s">
        <v>131</v>
      </c>
      <c r="D20" s="10" t="s">
        <v>132</v>
      </c>
      <c r="E20" s="12">
        <v>42217</v>
      </c>
      <c r="F20" s="12" t="s">
        <v>87</v>
      </c>
      <c r="G20" s="10">
        <v>10858</v>
      </c>
      <c r="H20" s="10" t="s">
        <v>159</v>
      </c>
      <c r="I20" s="10">
        <v>15</v>
      </c>
      <c r="J20" s="13">
        <f t="shared" ref="J20:J25" si="0">G20*I20/100000</f>
        <v>1.6287</v>
      </c>
      <c r="K20" s="11" t="s">
        <v>133</v>
      </c>
    </row>
    <row r="21" spans="2:13" ht="24" x14ac:dyDescent="0.2">
      <c r="B21" s="10">
        <v>17</v>
      </c>
      <c r="C21" s="10" t="s">
        <v>134</v>
      </c>
      <c r="D21" s="10" t="s">
        <v>135</v>
      </c>
      <c r="E21" s="12">
        <v>42370</v>
      </c>
      <c r="F21" s="12" t="s">
        <v>87</v>
      </c>
      <c r="G21" s="10">
        <v>12565</v>
      </c>
      <c r="H21" s="10" t="s">
        <v>159</v>
      </c>
      <c r="I21" s="10">
        <v>15</v>
      </c>
      <c r="J21" s="13">
        <f t="shared" si="0"/>
        <v>1.8847499999999999</v>
      </c>
      <c r="K21" s="11" t="s">
        <v>133</v>
      </c>
    </row>
    <row r="22" spans="2:13" ht="36" x14ac:dyDescent="0.2">
      <c r="B22" s="10">
        <v>18</v>
      </c>
      <c r="C22" s="10" t="s">
        <v>136</v>
      </c>
      <c r="D22" s="10" t="s">
        <v>114</v>
      </c>
      <c r="E22" s="12">
        <v>42278</v>
      </c>
      <c r="F22" s="12" t="s">
        <v>87</v>
      </c>
      <c r="G22" s="10">
        <v>40000</v>
      </c>
      <c r="H22" s="10" t="s">
        <v>159</v>
      </c>
      <c r="I22" s="10">
        <v>2</v>
      </c>
      <c r="J22" s="13">
        <f t="shared" si="0"/>
        <v>0.8</v>
      </c>
      <c r="K22" s="11" t="s">
        <v>137</v>
      </c>
    </row>
    <row r="23" spans="2:13" x14ac:dyDescent="0.2">
      <c r="B23" s="10">
        <v>19</v>
      </c>
      <c r="C23" s="10" t="s">
        <v>138</v>
      </c>
      <c r="D23" s="10" t="s">
        <v>11</v>
      </c>
      <c r="E23" s="12">
        <v>42278</v>
      </c>
      <c r="F23" s="12" t="s">
        <v>87</v>
      </c>
      <c r="G23" s="10">
        <v>21160</v>
      </c>
      <c r="H23" s="10" t="s">
        <v>158</v>
      </c>
      <c r="I23" s="24">
        <v>2.5</v>
      </c>
      <c r="J23" s="13">
        <f t="shared" si="0"/>
        <v>0.52900000000000003</v>
      </c>
      <c r="K23" s="11" t="s">
        <v>139</v>
      </c>
    </row>
    <row r="24" spans="2:13" x14ac:dyDescent="0.2">
      <c r="B24" s="10">
        <v>20</v>
      </c>
      <c r="C24" s="11" t="s">
        <v>140</v>
      </c>
      <c r="D24" s="10" t="s">
        <v>141</v>
      </c>
      <c r="E24" s="12">
        <v>42309</v>
      </c>
      <c r="F24" s="12" t="s">
        <v>87</v>
      </c>
      <c r="G24" s="10">
        <v>50000</v>
      </c>
      <c r="H24" s="10" t="s">
        <v>158</v>
      </c>
      <c r="I24" s="24">
        <v>1.2</v>
      </c>
      <c r="J24" s="13">
        <f t="shared" si="0"/>
        <v>0.6</v>
      </c>
      <c r="K24" s="11" t="s">
        <v>142</v>
      </c>
    </row>
    <row r="25" spans="2:13" ht="24" x14ac:dyDescent="0.2">
      <c r="B25" s="10">
        <v>21</v>
      </c>
      <c r="C25" s="10" t="s">
        <v>143</v>
      </c>
      <c r="D25" s="10" t="s">
        <v>144</v>
      </c>
      <c r="E25" s="12" t="s">
        <v>145</v>
      </c>
      <c r="F25" s="12" t="s">
        <v>87</v>
      </c>
      <c r="G25" s="10">
        <v>10000</v>
      </c>
      <c r="H25" s="10" t="s">
        <v>159</v>
      </c>
      <c r="I25" s="24">
        <v>4</v>
      </c>
      <c r="J25" s="13">
        <f t="shared" si="0"/>
        <v>0.4</v>
      </c>
      <c r="K25" s="11" t="s">
        <v>146</v>
      </c>
    </row>
    <row r="26" spans="2:13" x14ac:dyDescent="0.2">
      <c r="B26" s="10">
        <v>22</v>
      </c>
      <c r="C26" s="11" t="s">
        <v>117</v>
      </c>
      <c r="D26" s="11"/>
      <c r="E26" s="12"/>
      <c r="F26" s="12"/>
      <c r="G26" s="10"/>
      <c r="H26" s="10"/>
      <c r="I26" s="10"/>
      <c r="J26" s="15">
        <f>'CIP-Surya'!E54/100000</f>
        <v>7.1516361499999999</v>
      </c>
      <c r="K26" s="11" t="s">
        <v>118</v>
      </c>
    </row>
    <row r="27" spans="2:13" x14ac:dyDescent="0.2">
      <c r="B27" s="10">
        <v>23</v>
      </c>
      <c r="C27" s="11" t="s">
        <v>124</v>
      </c>
      <c r="D27" s="11"/>
      <c r="E27" s="12"/>
      <c r="F27" s="12"/>
      <c r="G27" s="10"/>
      <c r="H27" s="10"/>
      <c r="I27" s="10"/>
      <c r="J27" s="15">
        <f>'CIP-Mangesh'!L21/100000</f>
        <v>15.906302500000001</v>
      </c>
      <c r="K27" s="11" t="s">
        <v>125</v>
      </c>
      <c r="M27" s="17"/>
    </row>
    <row r="28" spans="2:13" x14ac:dyDescent="0.2">
      <c r="B28" s="10">
        <v>24</v>
      </c>
      <c r="C28" s="11" t="s">
        <v>111</v>
      </c>
      <c r="D28" s="11"/>
      <c r="E28" s="12"/>
      <c r="F28" s="12"/>
      <c r="G28" s="10"/>
      <c r="H28" s="10"/>
      <c r="I28" s="10"/>
      <c r="J28" s="15">
        <f>23.349-8.11</f>
        <v>15.239000000000001</v>
      </c>
      <c r="K28" s="11" t="s">
        <v>112</v>
      </c>
    </row>
    <row r="29" spans="2:13" x14ac:dyDescent="0.2">
      <c r="B29" s="18"/>
      <c r="C29" s="19"/>
      <c r="D29" s="19" t="s">
        <v>150</v>
      </c>
      <c r="E29" s="19"/>
      <c r="F29" s="19"/>
      <c r="G29" s="20"/>
      <c r="H29" s="19"/>
      <c r="I29" s="19"/>
      <c r="J29" s="21">
        <f>SUM(J5:J28)</f>
        <v>250.90511857724843</v>
      </c>
      <c r="K29" s="20"/>
    </row>
    <row r="34" spans="3:3" x14ac:dyDescent="0.2">
      <c r="C34" s="22"/>
    </row>
    <row r="35" spans="3:3" x14ac:dyDescent="0.2">
      <c r="C35" s="22"/>
    </row>
    <row r="36" spans="3:3" x14ac:dyDescent="0.2">
      <c r="C36" s="22"/>
    </row>
  </sheetData>
  <autoFilter ref="B4:K29"/>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4"/>
  <sheetViews>
    <sheetView topLeftCell="A43" workbookViewId="0">
      <selection activeCell="G54" sqref="G54"/>
    </sheetView>
  </sheetViews>
  <sheetFormatPr defaultRowHeight="12.75" x14ac:dyDescent="0.2"/>
  <cols>
    <col min="1" max="1" width="15.5703125" style="25" customWidth="1"/>
    <col min="2" max="2" width="9" style="25" customWidth="1"/>
    <col min="3" max="3" width="8.85546875" style="25" customWidth="1"/>
    <col min="4" max="4" width="17.85546875" style="25" customWidth="1"/>
    <col min="5" max="5" width="22" style="25" customWidth="1"/>
    <col min="6" max="6" width="29.85546875" style="25" bestFit="1" customWidth="1"/>
    <col min="7" max="7" width="13.5703125" style="25" bestFit="1" customWidth="1"/>
    <col min="8" max="8" width="13.7109375" style="25" customWidth="1"/>
    <col min="9" max="9" width="14.7109375" style="25" customWidth="1"/>
    <col min="10" max="10" width="13.140625" style="25" customWidth="1"/>
    <col min="11" max="11" width="21.85546875" style="25" customWidth="1"/>
    <col min="12" max="12" width="72.85546875" style="25" bestFit="1" customWidth="1"/>
    <col min="13" max="14" width="9.140625" style="25"/>
    <col min="15" max="15" width="11.28515625" style="25" bestFit="1" customWidth="1"/>
    <col min="16" max="16384" width="9.140625" style="25"/>
  </cols>
  <sheetData>
    <row r="1" spans="1:13" s="45" customFormat="1" ht="15.75" thickBot="1" x14ac:dyDescent="0.3">
      <c r="A1" s="43"/>
      <c r="B1" s="44" t="s">
        <v>177</v>
      </c>
    </row>
    <row r="2" spans="1:13" ht="60" x14ac:dyDescent="0.25">
      <c r="A2" s="46" t="s">
        <v>162</v>
      </c>
      <c r="B2" s="46" t="s">
        <v>163</v>
      </c>
      <c r="C2" s="46" t="s">
        <v>164</v>
      </c>
      <c r="D2" s="46" t="s">
        <v>165</v>
      </c>
      <c r="E2" s="47" t="s">
        <v>74</v>
      </c>
      <c r="F2" s="46" t="s">
        <v>166</v>
      </c>
      <c r="G2" s="46" t="s">
        <v>167</v>
      </c>
      <c r="H2" s="48"/>
      <c r="I2" s="49"/>
      <c r="J2" s="48"/>
      <c r="K2" s="50" t="s">
        <v>168</v>
      </c>
      <c r="L2" s="46" t="s">
        <v>169</v>
      </c>
      <c r="M2" s="48"/>
    </row>
    <row r="3" spans="1:13" ht="39" x14ac:dyDescent="0.25">
      <c r="A3" s="26" t="s">
        <v>170</v>
      </c>
      <c r="B3" s="37">
        <v>42461</v>
      </c>
      <c r="C3" s="37">
        <v>42826</v>
      </c>
      <c r="D3" s="41" t="s">
        <v>175</v>
      </c>
      <c r="E3" s="32" t="s">
        <v>176</v>
      </c>
      <c r="F3" s="26">
        <v>16</v>
      </c>
      <c r="G3" s="26">
        <v>7000</v>
      </c>
      <c r="H3" s="26">
        <v>7000</v>
      </c>
      <c r="I3" s="26"/>
      <c r="J3" s="30"/>
      <c r="K3" s="29" t="s">
        <v>178</v>
      </c>
      <c r="L3" s="29" t="s">
        <v>179</v>
      </c>
    </row>
    <row r="4" spans="1:13" ht="30" x14ac:dyDescent="0.25">
      <c r="A4" s="26" t="s">
        <v>170</v>
      </c>
      <c r="B4" s="37">
        <v>42491</v>
      </c>
      <c r="C4" s="37">
        <v>42856</v>
      </c>
      <c r="D4" s="38" t="s">
        <v>180</v>
      </c>
      <c r="E4" s="51" t="s">
        <v>62</v>
      </c>
      <c r="F4" s="52" t="s">
        <v>181</v>
      </c>
      <c r="G4" s="26">
        <v>7500</v>
      </c>
      <c r="H4" s="26">
        <v>7500</v>
      </c>
      <c r="I4" s="26"/>
      <c r="J4" s="30"/>
      <c r="K4" s="53" t="s">
        <v>182</v>
      </c>
      <c r="L4" s="54" t="s">
        <v>183</v>
      </c>
    </row>
    <row r="5" spans="1:13" ht="39" x14ac:dyDescent="0.25">
      <c r="A5" s="26" t="s">
        <v>170</v>
      </c>
      <c r="B5" s="37">
        <v>42491</v>
      </c>
      <c r="C5" s="37">
        <v>42856</v>
      </c>
      <c r="D5" s="41" t="s">
        <v>175</v>
      </c>
      <c r="E5" s="32" t="s">
        <v>176</v>
      </c>
      <c r="F5" s="26">
        <v>25</v>
      </c>
      <c r="G5" s="26">
        <v>24900</v>
      </c>
      <c r="H5" s="26">
        <v>24900</v>
      </c>
      <c r="I5" s="26"/>
      <c r="J5" s="30"/>
      <c r="K5" s="29" t="s">
        <v>184</v>
      </c>
      <c r="L5" s="29" t="s">
        <v>185</v>
      </c>
    </row>
    <row r="6" spans="1:13" ht="26.25" x14ac:dyDescent="0.25">
      <c r="A6" s="26" t="s">
        <v>170</v>
      </c>
      <c r="B6" s="37">
        <v>42491</v>
      </c>
      <c r="C6" s="37">
        <v>42856</v>
      </c>
      <c r="D6" s="41" t="s">
        <v>186</v>
      </c>
      <c r="E6" s="32" t="s">
        <v>187</v>
      </c>
      <c r="F6" s="28">
        <v>2</v>
      </c>
      <c r="G6" s="26">
        <v>25000</v>
      </c>
      <c r="H6" s="26" t="s">
        <v>188</v>
      </c>
      <c r="I6" s="26"/>
      <c r="J6" s="26"/>
      <c r="K6" s="26" t="s">
        <v>189</v>
      </c>
      <c r="L6" s="29" t="s">
        <v>190</v>
      </c>
    </row>
    <row r="7" spans="1:13" ht="60" x14ac:dyDescent="0.25">
      <c r="A7" s="26" t="s">
        <v>170</v>
      </c>
      <c r="B7" s="37">
        <v>42522</v>
      </c>
      <c r="C7" s="37">
        <v>42887</v>
      </c>
      <c r="D7" s="38" t="s">
        <v>191</v>
      </c>
      <c r="E7" s="32" t="s">
        <v>192</v>
      </c>
      <c r="F7" s="28">
        <v>1</v>
      </c>
      <c r="G7" s="31">
        <v>95500</v>
      </c>
      <c r="H7" s="55" t="s">
        <v>193</v>
      </c>
      <c r="I7" s="26"/>
      <c r="J7" s="39"/>
      <c r="K7" s="34" t="s">
        <v>194</v>
      </c>
      <c r="L7" s="56" t="s">
        <v>195</v>
      </c>
      <c r="M7" s="40"/>
    </row>
    <row r="8" spans="1:13" ht="150.75" customHeight="1" x14ac:dyDescent="0.25">
      <c r="A8" s="26" t="s">
        <v>170</v>
      </c>
      <c r="B8" s="37">
        <v>42522</v>
      </c>
      <c r="C8" s="37">
        <v>42887</v>
      </c>
      <c r="D8" s="38" t="s">
        <v>191</v>
      </c>
      <c r="E8" s="32" t="s">
        <v>192</v>
      </c>
      <c r="F8" s="28">
        <v>1</v>
      </c>
      <c r="G8" s="57">
        <v>25000</v>
      </c>
      <c r="H8" s="26"/>
      <c r="I8" s="26"/>
      <c r="J8" s="26"/>
      <c r="K8" s="42" t="s">
        <v>194</v>
      </c>
      <c r="L8" s="29" t="s">
        <v>196</v>
      </c>
    </row>
    <row r="9" spans="1:13" ht="26.25" x14ac:dyDescent="0.25">
      <c r="A9" s="26" t="s">
        <v>170</v>
      </c>
      <c r="B9" s="37">
        <v>42522</v>
      </c>
      <c r="C9" s="37">
        <v>42887</v>
      </c>
      <c r="D9" s="41" t="s">
        <v>197</v>
      </c>
      <c r="E9" s="32" t="s">
        <v>198</v>
      </c>
      <c r="F9" s="52" t="s">
        <v>199</v>
      </c>
      <c r="G9" s="31">
        <v>3500</v>
      </c>
      <c r="H9" s="55" t="s">
        <v>200</v>
      </c>
      <c r="I9" s="26"/>
      <c r="J9" s="39"/>
      <c r="K9" s="42" t="s">
        <v>201</v>
      </c>
      <c r="L9" s="36" t="s">
        <v>202</v>
      </c>
      <c r="M9" s="40"/>
    </row>
    <row r="10" spans="1:13" ht="51.75" x14ac:dyDescent="0.25">
      <c r="A10" s="26" t="s">
        <v>170</v>
      </c>
      <c r="B10" s="37">
        <v>42522</v>
      </c>
      <c r="C10" s="37">
        <v>42887</v>
      </c>
      <c r="D10" s="41" t="s">
        <v>203</v>
      </c>
      <c r="E10" s="32" t="s">
        <v>204</v>
      </c>
      <c r="F10" s="52">
        <v>10</v>
      </c>
      <c r="G10" s="58">
        <v>4925</v>
      </c>
      <c r="H10" s="29" t="s">
        <v>205</v>
      </c>
      <c r="I10" s="26"/>
      <c r="J10" s="39"/>
      <c r="K10" s="42" t="s">
        <v>206</v>
      </c>
      <c r="L10" s="36" t="s">
        <v>207</v>
      </c>
      <c r="M10" s="40"/>
    </row>
    <row r="11" spans="1:13" ht="26.25" x14ac:dyDescent="0.25">
      <c r="A11" s="26" t="s">
        <v>170</v>
      </c>
      <c r="B11" s="37">
        <v>42552</v>
      </c>
      <c r="C11" s="37">
        <v>42917</v>
      </c>
      <c r="D11" s="41" t="s">
        <v>208</v>
      </c>
      <c r="E11" s="26" t="s">
        <v>209</v>
      </c>
      <c r="F11" s="59" t="s">
        <v>210</v>
      </c>
      <c r="G11" s="60">
        <v>3717</v>
      </c>
      <c r="H11" s="26"/>
      <c r="I11" s="26"/>
      <c r="J11" s="26"/>
      <c r="K11" s="36" t="s">
        <v>211</v>
      </c>
      <c r="L11" s="29" t="s">
        <v>212</v>
      </c>
    </row>
    <row r="12" spans="1:13" ht="26.25" x14ac:dyDescent="0.25">
      <c r="A12" s="26" t="s">
        <v>170</v>
      </c>
      <c r="B12" s="37">
        <v>42552</v>
      </c>
      <c r="C12" s="37">
        <v>42917</v>
      </c>
      <c r="D12" s="41" t="s">
        <v>213</v>
      </c>
      <c r="E12" s="26" t="s">
        <v>214</v>
      </c>
      <c r="F12" s="59" t="s">
        <v>215</v>
      </c>
      <c r="G12" s="60">
        <v>10605</v>
      </c>
      <c r="H12" s="26"/>
      <c r="I12" s="26"/>
      <c r="J12" s="26"/>
      <c r="K12" s="36" t="s">
        <v>216</v>
      </c>
      <c r="L12" s="29" t="s">
        <v>217</v>
      </c>
    </row>
    <row r="13" spans="1:13" ht="26.25" x14ac:dyDescent="0.25">
      <c r="A13" s="26" t="s">
        <v>170</v>
      </c>
      <c r="B13" s="37">
        <v>42552</v>
      </c>
      <c r="C13" s="37">
        <v>42917</v>
      </c>
      <c r="D13" s="41" t="s">
        <v>218</v>
      </c>
      <c r="E13" s="26" t="s">
        <v>52</v>
      </c>
      <c r="F13" s="59" t="s">
        <v>219</v>
      </c>
      <c r="G13" s="60">
        <v>49780</v>
      </c>
      <c r="H13" s="26"/>
      <c r="I13" s="26"/>
      <c r="J13" s="26"/>
      <c r="K13" s="36" t="s">
        <v>220</v>
      </c>
      <c r="L13" s="29" t="s">
        <v>221</v>
      </c>
    </row>
    <row r="14" spans="1:13" ht="26.25" x14ac:dyDescent="0.25">
      <c r="A14" s="26" t="s">
        <v>170</v>
      </c>
      <c r="B14" s="37">
        <v>42552</v>
      </c>
      <c r="C14" s="37">
        <v>42917</v>
      </c>
      <c r="D14" s="41" t="s">
        <v>222</v>
      </c>
      <c r="E14" s="26" t="s">
        <v>56</v>
      </c>
      <c r="F14" s="59" t="s">
        <v>223</v>
      </c>
      <c r="G14" s="60"/>
      <c r="H14" s="26"/>
      <c r="I14" s="26"/>
      <c r="J14" s="26"/>
      <c r="K14" s="36" t="s">
        <v>224</v>
      </c>
      <c r="L14" s="26"/>
    </row>
    <row r="15" spans="1:13" ht="90" x14ac:dyDescent="0.25">
      <c r="A15" s="26" t="s">
        <v>170</v>
      </c>
      <c r="B15" s="37">
        <v>42552</v>
      </c>
      <c r="C15" s="37">
        <v>42917</v>
      </c>
      <c r="D15" s="41" t="s">
        <v>225</v>
      </c>
      <c r="E15" s="28" t="s">
        <v>226</v>
      </c>
      <c r="F15" s="28" t="s">
        <v>172</v>
      </c>
      <c r="G15" s="28">
        <v>21111</v>
      </c>
      <c r="H15" s="28">
        <v>21111</v>
      </c>
      <c r="I15" s="28"/>
      <c r="J15" s="30"/>
      <c r="K15" s="36" t="s">
        <v>227</v>
      </c>
      <c r="L15" s="29" t="s">
        <v>173</v>
      </c>
    </row>
    <row r="16" spans="1:13" ht="39" x14ac:dyDescent="0.25">
      <c r="A16" s="26" t="s">
        <v>170</v>
      </c>
      <c r="B16" s="37">
        <v>42552</v>
      </c>
      <c r="C16" s="37">
        <v>42917</v>
      </c>
      <c r="D16" s="41" t="s">
        <v>228</v>
      </c>
      <c r="E16" s="26" t="s">
        <v>229</v>
      </c>
      <c r="F16" s="59" t="s">
        <v>230</v>
      </c>
      <c r="G16" s="60">
        <v>5525</v>
      </c>
      <c r="H16" s="26">
        <v>5525</v>
      </c>
      <c r="I16" s="26"/>
      <c r="J16" s="26"/>
      <c r="K16" s="36" t="s">
        <v>231</v>
      </c>
      <c r="L16" s="29" t="s">
        <v>232</v>
      </c>
    </row>
    <row r="17" spans="1:13" ht="39" x14ac:dyDescent="0.25">
      <c r="A17" s="26" t="s">
        <v>170</v>
      </c>
      <c r="B17" s="37">
        <v>42552</v>
      </c>
      <c r="C17" s="37">
        <v>42917</v>
      </c>
      <c r="D17" s="41" t="s">
        <v>233</v>
      </c>
      <c r="E17" s="26" t="s">
        <v>234</v>
      </c>
      <c r="F17" s="59" t="s">
        <v>235</v>
      </c>
      <c r="G17" s="60">
        <f>(485-300)*138</f>
        <v>25530</v>
      </c>
      <c r="H17" s="60">
        <f>(485-300)*138</f>
        <v>25530</v>
      </c>
      <c r="I17" s="26"/>
      <c r="J17" s="26"/>
      <c r="K17" s="36" t="s">
        <v>236</v>
      </c>
      <c r="L17" s="29" t="s">
        <v>237</v>
      </c>
    </row>
    <row r="18" spans="1:13" ht="47.25" x14ac:dyDescent="0.25">
      <c r="A18" s="26" t="s">
        <v>170</v>
      </c>
      <c r="B18" s="37">
        <v>42552</v>
      </c>
      <c r="C18" s="37">
        <v>42917</v>
      </c>
      <c r="D18" s="41" t="s">
        <v>233</v>
      </c>
      <c r="E18" s="26" t="s">
        <v>234</v>
      </c>
      <c r="F18" s="61" t="s">
        <v>238</v>
      </c>
      <c r="G18" s="60">
        <v>10000</v>
      </c>
      <c r="H18" s="60">
        <v>10000</v>
      </c>
      <c r="I18" s="26"/>
      <c r="J18" s="26"/>
      <c r="K18" s="36" t="s">
        <v>239</v>
      </c>
      <c r="L18" s="29" t="s">
        <v>240</v>
      </c>
    </row>
    <row r="19" spans="1:13" ht="39" x14ac:dyDescent="0.25">
      <c r="A19" s="26" t="s">
        <v>170</v>
      </c>
      <c r="B19" s="37">
        <v>42583</v>
      </c>
      <c r="C19" s="37">
        <v>42948</v>
      </c>
      <c r="D19" s="41" t="s">
        <v>241</v>
      </c>
      <c r="E19" s="29" t="s">
        <v>242</v>
      </c>
      <c r="F19" s="59" t="s">
        <v>243</v>
      </c>
      <c r="G19" s="60">
        <v>16770</v>
      </c>
      <c r="H19" s="26">
        <v>16770</v>
      </c>
      <c r="I19" s="26"/>
      <c r="J19" s="26"/>
      <c r="K19" s="36" t="s">
        <v>244</v>
      </c>
      <c r="L19" s="29" t="s">
        <v>245</v>
      </c>
    </row>
    <row r="20" spans="1:13" ht="39" x14ac:dyDescent="0.25">
      <c r="A20" s="26" t="s">
        <v>170</v>
      </c>
      <c r="B20" s="37">
        <v>42583</v>
      </c>
      <c r="C20" s="37">
        <v>42948</v>
      </c>
      <c r="D20" s="41" t="s">
        <v>246</v>
      </c>
      <c r="E20" s="26" t="s">
        <v>247</v>
      </c>
      <c r="F20" s="59" t="s">
        <v>248</v>
      </c>
      <c r="G20" s="60">
        <v>22990</v>
      </c>
      <c r="H20" s="26">
        <v>22990</v>
      </c>
      <c r="I20" s="26"/>
      <c r="J20" s="26"/>
      <c r="K20" s="36" t="s">
        <v>249</v>
      </c>
      <c r="L20" s="29" t="s">
        <v>250</v>
      </c>
    </row>
    <row r="21" spans="1:13" ht="51.75" x14ac:dyDescent="0.25">
      <c r="A21" s="26" t="s">
        <v>170</v>
      </c>
      <c r="B21" s="37">
        <v>42583</v>
      </c>
      <c r="C21" s="37">
        <v>42948</v>
      </c>
      <c r="D21" s="62" t="s">
        <v>251</v>
      </c>
      <c r="E21" s="57" t="s">
        <v>252</v>
      </c>
      <c r="F21" s="63" t="s">
        <v>253</v>
      </c>
      <c r="G21" s="64">
        <v>3300</v>
      </c>
      <c r="H21" s="64">
        <v>3300</v>
      </c>
      <c r="I21" s="26"/>
      <c r="J21" s="26"/>
      <c r="K21" s="36" t="s">
        <v>254</v>
      </c>
      <c r="L21" s="65" t="s">
        <v>255</v>
      </c>
    </row>
    <row r="22" spans="1:13" ht="39" x14ac:dyDescent="0.25">
      <c r="A22" s="26" t="s">
        <v>170</v>
      </c>
      <c r="B22" s="37">
        <v>42583</v>
      </c>
      <c r="C22" s="37">
        <v>42948</v>
      </c>
      <c r="D22" s="26" t="s">
        <v>256</v>
      </c>
      <c r="E22" s="26" t="s">
        <v>257</v>
      </c>
      <c r="F22" s="59" t="s">
        <v>258</v>
      </c>
      <c r="G22" s="26">
        <v>4860</v>
      </c>
      <c r="H22" s="26">
        <v>4860</v>
      </c>
      <c r="I22" s="26"/>
      <c r="J22" s="26"/>
      <c r="K22" s="26" t="s">
        <v>259</v>
      </c>
      <c r="L22" s="29" t="s">
        <v>260</v>
      </c>
    </row>
    <row r="23" spans="1:13" ht="26.25" x14ac:dyDescent="0.25">
      <c r="A23" s="26" t="s">
        <v>170</v>
      </c>
      <c r="B23" s="37">
        <v>42583</v>
      </c>
      <c r="C23" s="37">
        <v>42948</v>
      </c>
      <c r="D23" s="28" t="s">
        <v>171</v>
      </c>
      <c r="E23" s="28" t="s">
        <v>261</v>
      </c>
      <c r="F23" s="59" t="s">
        <v>262</v>
      </c>
      <c r="G23" s="26">
        <v>4814</v>
      </c>
      <c r="H23" s="26">
        <v>4814</v>
      </c>
      <c r="I23" s="26"/>
      <c r="J23" s="30"/>
      <c r="K23" s="34" t="s">
        <v>263</v>
      </c>
      <c r="L23" s="32" t="s">
        <v>264</v>
      </c>
      <c r="M23" s="35"/>
    </row>
    <row r="24" spans="1:13" ht="15.75" x14ac:dyDescent="0.25">
      <c r="A24" s="26" t="s">
        <v>170</v>
      </c>
      <c r="B24" s="37">
        <v>42583</v>
      </c>
      <c r="C24" s="37">
        <v>42948</v>
      </c>
      <c r="D24" s="28" t="s">
        <v>265</v>
      </c>
      <c r="E24" s="28" t="s">
        <v>47</v>
      </c>
      <c r="F24" s="59" t="s">
        <v>266</v>
      </c>
      <c r="G24" s="26">
        <v>6500</v>
      </c>
      <c r="H24" s="26">
        <v>6500</v>
      </c>
      <c r="I24" s="26"/>
      <c r="J24" s="30"/>
      <c r="K24" s="34" t="s">
        <v>267</v>
      </c>
      <c r="L24" s="32" t="s">
        <v>268</v>
      </c>
      <c r="M24" s="35"/>
    </row>
    <row r="25" spans="1:13" ht="15.75" x14ac:dyDescent="0.25">
      <c r="A25" s="26" t="s">
        <v>170</v>
      </c>
      <c r="B25" s="37">
        <v>42583</v>
      </c>
      <c r="C25" s="37">
        <v>42948</v>
      </c>
      <c r="D25" s="28" t="s">
        <v>269</v>
      </c>
      <c r="E25" s="28" t="s">
        <v>270</v>
      </c>
      <c r="F25" s="59" t="s">
        <v>271</v>
      </c>
      <c r="G25" s="26" t="s">
        <v>272</v>
      </c>
      <c r="H25" s="26"/>
      <c r="I25" s="26"/>
      <c r="J25" s="30"/>
      <c r="K25" s="34" t="s">
        <v>273</v>
      </c>
      <c r="L25" s="26" t="s">
        <v>272</v>
      </c>
      <c r="M25" s="35"/>
    </row>
    <row r="26" spans="1:13" ht="39" x14ac:dyDescent="0.25">
      <c r="A26" s="26" t="s">
        <v>170</v>
      </c>
      <c r="B26" s="37">
        <v>42614</v>
      </c>
      <c r="C26" s="37">
        <v>42979</v>
      </c>
      <c r="D26" s="26" t="s">
        <v>274</v>
      </c>
      <c r="E26" s="26" t="s">
        <v>275</v>
      </c>
      <c r="F26" s="59" t="s">
        <v>276</v>
      </c>
      <c r="G26" s="26">
        <v>99609</v>
      </c>
      <c r="H26" s="26">
        <v>99609</v>
      </c>
      <c r="I26" s="26"/>
      <c r="J26" s="26"/>
      <c r="K26" s="26" t="s">
        <v>277</v>
      </c>
      <c r="L26" s="29" t="s">
        <v>278</v>
      </c>
    </row>
    <row r="27" spans="1:13" ht="39" x14ac:dyDescent="0.25">
      <c r="A27" s="26" t="s">
        <v>170</v>
      </c>
      <c r="B27" s="37">
        <v>42614</v>
      </c>
      <c r="C27" s="37">
        <v>42979</v>
      </c>
      <c r="D27" s="26" t="s">
        <v>279</v>
      </c>
      <c r="E27" s="26" t="s">
        <v>280</v>
      </c>
      <c r="F27" s="59" t="s">
        <v>281</v>
      </c>
      <c r="G27" s="26">
        <v>10919</v>
      </c>
      <c r="H27" s="26">
        <v>10919</v>
      </c>
      <c r="I27" s="26"/>
      <c r="J27" s="26"/>
      <c r="K27" s="26" t="s">
        <v>282</v>
      </c>
      <c r="L27" s="29" t="s">
        <v>283</v>
      </c>
    </row>
    <row r="28" spans="1:13" ht="39" x14ac:dyDescent="0.25">
      <c r="A28" s="26" t="s">
        <v>170</v>
      </c>
      <c r="B28" s="37">
        <v>42644</v>
      </c>
      <c r="C28" s="37">
        <v>43009</v>
      </c>
      <c r="D28" s="26" t="s">
        <v>256</v>
      </c>
      <c r="E28" s="26" t="s">
        <v>257</v>
      </c>
      <c r="F28" s="59" t="s">
        <v>284</v>
      </c>
      <c r="G28" s="26">
        <v>9720</v>
      </c>
      <c r="H28" s="26">
        <v>9720</v>
      </c>
      <c r="I28" s="26"/>
      <c r="J28" s="26"/>
      <c r="K28" s="26" t="s">
        <v>285</v>
      </c>
      <c r="L28" s="29" t="s">
        <v>286</v>
      </c>
    </row>
    <row r="29" spans="1:13" ht="39" x14ac:dyDescent="0.25">
      <c r="A29" s="26" t="s">
        <v>170</v>
      </c>
      <c r="B29" s="37">
        <v>42644</v>
      </c>
      <c r="C29" s="37">
        <v>43009</v>
      </c>
      <c r="D29" s="26" t="s">
        <v>256</v>
      </c>
      <c r="E29" s="26" t="s">
        <v>257</v>
      </c>
      <c r="F29" s="59" t="s">
        <v>287</v>
      </c>
      <c r="G29" s="26">
        <v>3567</v>
      </c>
      <c r="H29" s="26">
        <v>3567</v>
      </c>
      <c r="I29" s="26"/>
      <c r="J29" s="26"/>
      <c r="K29" s="26" t="s">
        <v>288</v>
      </c>
      <c r="L29" s="29" t="s">
        <v>289</v>
      </c>
    </row>
    <row r="30" spans="1:13" ht="26.25" x14ac:dyDescent="0.25">
      <c r="A30" s="26" t="s">
        <v>170</v>
      </c>
      <c r="B30" s="37">
        <v>42644</v>
      </c>
      <c r="C30" s="37">
        <v>43009</v>
      </c>
      <c r="D30" s="26" t="s">
        <v>290</v>
      </c>
      <c r="E30" s="66" t="s">
        <v>41</v>
      </c>
      <c r="F30" s="59" t="s">
        <v>291</v>
      </c>
      <c r="G30" s="26">
        <v>6270</v>
      </c>
      <c r="H30" s="26">
        <v>6270</v>
      </c>
      <c r="I30" s="26"/>
      <c r="J30" s="26"/>
      <c r="K30" s="26" t="s">
        <v>292</v>
      </c>
      <c r="L30" s="29" t="s">
        <v>293</v>
      </c>
    </row>
    <row r="31" spans="1:13" ht="90" x14ac:dyDescent="0.25">
      <c r="A31" s="26" t="s">
        <v>170</v>
      </c>
      <c r="B31" s="37">
        <v>42644</v>
      </c>
      <c r="C31" s="37">
        <v>43009</v>
      </c>
      <c r="D31" s="41" t="s">
        <v>174</v>
      </c>
      <c r="E31" s="67" t="s">
        <v>294</v>
      </c>
      <c r="F31" s="52" t="s">
        <v>295</v>
      </c>
      <c r="G31" s="26">
        <v>1718</v>
      </c>
      <c r="H31" s="26">
        <v>1718</v>
      </c>
      <c r="I31" s="26"/>
      <c r="J31" s="26"/>
      <c r="K31" s="26" t="s">
        <v>296</v>
      </c>
      <c r="L31" s="29" t="s">
        <v>297</v>
      </c>
    </row>
    <row r="32" spans="1:13" ht="26.25" x14ac:dyDescent="0.25">
      <c r="A32" s="26" t="s">
        <v>170</v>
      </c>
      <c r="B32" s="37">
        <v>42644</v>
      </c>
      <c r="C32" s="37">
        <v>43009</v>
      </c>
      <c r="D32" s="26" t="s">
        <v>274</v>
      </c>
      <c r="E32" s="26" t="s">
        <v>275</v>
      </c>
      <c r="F32" s="52" t="s">
        <v>298</v>
      </c>
      <c r="G32" s="26">
        <f>7074+2370</f>
        <v>9444</v>
      </c>
      <c r="H32" s="26">
        <f>7074+2370</f>
        <v>9444</v>
      </c>
      <c r="I32" s="26"/>
      <c r="J32" s="26"/>
      <c r="K32" s="26" t="s">
        <v>299</v>
      </c>
      <c r="L32" s="29" t="s">
        <v>300</v>
      </c>
    </row>
    <row r="33" spans="1:12" ht="15" x14ac:dyDescent="0.25">
      <c r="A33" s="26"/>
      <c r="B33" s="37"/>
      <c r="C33" s="37"/>
      <c r="D33" s="26"/>
      <c r="E33" s="26" t="s">
        <v>275</v>
      </c>
      <c r="F33" s="52" t="s">
        <v>298</v>
      </c>
      <c r="G33" s="26">
        <f>24*180</f>
        <v>4320</v>
      </c>
      <c r="H33" s="26">
        <v>4320</v>
      </c>
      <c r="I33" s="26"/>
      <c r="J33" s="26"/>
      <c r="K33" s="26" t="s">
        <v>301</v>
      </c>
      <c r="L33" s="26" t="s">
        <v>302</v>
      </c>
    </row>
    <row r="34" spans="1:12" ht="15" x14ac:dyDescent="0.25">
      <c r="A34" s="26"/>
      <c r="B34" s="37"/>
      <c r="C34" s="37"/>
      <c r="D34" s="26"/>
      <c r="E34" s="26" t="s">
        <v>275</v>
      </c>
      <c r="F34" s="52" t="s">
        <v>303</v>
      </c>
      <c r="G34" s="26">
        <v>20754</v>
      </c>
      <c r="H34" s="26">
        <v>20754</v>
      </c>
      <c r="I34" s="26"/>
      <c r="J34" s="26"/>
      <c r="K34" s="26" t="s">
        <v>304</v>
      </c>
      <c r="L34" s="26" t="s">
        <v>302</v>
      </c>
    </row>
    <row r="35" spans="1:12" ht="15" x14ac:dyDescent="0.25">
      <c r="A35" s="26" t="s">
        <v>170</v>
      </c>
      <c r="B35" s="37">
        <v>42552</v>
      </c>
      <c r="C35" s="37">
        <v>42917</v>
      </c>
      <c r="D35" s="26" t="s">
        <v>305</v>
      </c>
      <c r="E35" s="66" t="s">
        <v>306</v>
      </c>
      <c r="F35" s="26" t="s">
        <v>307</v>
      </c>
      <c r="G35" s="26">
        <v>11000</v>
      </c>
      <c r="H35" s="26">
        <v>11000</v>
      </c>
      <c r="I35" s="26"/>
      <c r="J35" s="26"/>
      <c r="K35" s="26" t="s">
        <v>308</v>
      </c>
      <c r="L35" s="26" t="s">
        <v>309</v>
      </c>
    </row>
    <row r="36" spans="1:12" ht="26.25" x14ac:dyDescent="0.25">
      <c r="A36" s="26" t="s">
        <v>170</v>
      </c>
      <c r="B36" s="37">
        <v>42675</v>
      </c>
      <c r="C36" s="37">
        <v>43040</v>
      </c>
      <c r="D36" s="26" t="s">
        <v>310</v>
      </c>
      <c r="E36" s="66" t="s">
        <v>311</v>
      </c>
      <c r="F36" s="26" t="s">
        <v>312</v>
      </c>
      <c r="G36" s="26">
        <v>2269</v>
      </c>
      <c r="H36" s="26">
        <v>2269</v>
      </c>
      <c r="I36" s="26"/>
      <c r="J36" s="26"/>
      <c r="K36" s="26" t="s">
        <v>313</v>
      </c>
      <c r="L36" s="29" t="s">
        <v>314</v>
      </c>
    </row>
    <row r="37" spans="1:12" ht="26.25" x14ac:dyDescent="0.25">
      <c r="A37" s="26" t="s">
        <v>170</v>
      </c>
      <c r="B37" s="37">
        <v>42675</v>
      </c>
      <c r="C37" s="37">
        <v>43040</v>
      </c>
      <c r="D37" s="26" t="s">
        <v>175</v>
      </c>
      <c r="E37" s="66" t="s">
        <v>40</v>
      </c>
      <c r="F37" s="26" t="s">
        <v>266</v>
      </c>
      <c r="G37" s="25">
        <v>16964</v>
      </c>
      <c r="H37" s="25">
        <v>16964</v>
      </c>
      <c r="I37" s="26"/>
      <c r="J37" s="26"/>
      <c r="K37" s="26" t="s">
        <v>315</v>
      </c>
      <c r="L37" s="29" t="s">
        <v>316</v>
      </c>
    </row>
    <row r="38" spans="1:12" ht="15" x14ac:dyDescent="0.25">
      <c r="A38" s="26" t="s">
        <v>170</v>
      </c>
      <c r="B38" s="37">
        <v>42675</v>
      </c>
      <c r="C38" s="37">
        <v>43040</v>
      </c>
      <c r="D38" s="26" t="s">
        <v>317</v>
      </c>
      <c r="E38" s="66" t="s">
        <v>318</v>
      </c>
      <c r="F38" s="26" t="s">
        <v>319</v>
      </c>
      <c r="G38" s="26">
        <v>5500</v>
      </c>
      <c r="H38" s="26">
        <v>5500</v>
      </c>
      <c r="I38" s="26"/>
      <c r="J38" s="26"/>
      <c r="K38" s="26" t="s">
        <v>320</v>
      </c>
      <c r="L38" s="26" t="s">
        <v>321</v>
      </c>
    </row>
    <row r="39" spans="1:12" ht="15" x14ac:dyDescent="0.25">
      <c r="A39" s="26" t="s">
        <v>170</v>
      </c>
      <c r="B39" s="37">
        <v>42675</v>
      </c>
      <c r="C39" s="37">
        <v>43040</v>
      </c>
      <c r="D39" s="66" t="s">
        <v>322</v>
      </c>
      <c r="E39" s="66" t="s">
        <v>21</v>
      </c>
      <c r="F39" s="68">
        <v>1420</v>
      </c>
      <c r="G39" s="66">
        <v>0</v>
      </c>
      <c r="H39" s="66">
        <v>0</v>
      </c>
      <c r="I39" s="26"/>
      <c r="J39" s="26"/>
      <c r="K39" s="26" t="s">
        <v>323</v>
      </c>
      <c r="L39" s="26" t="s">
        <v>324</v>
      </c>
    </row>
    <row r="40" spans="1:12" ht="15" x14ac:dyDescent="0.25">
      <c r="A40" s="26" t="s">
        <v>170</v>
      </c>
      <c r="B40" s="37">
        <v>42675</v>
      </c>
      <c r="C40" s="37">
        <v>43040</v>
      </c>
      <c r="D40" s="26" t="s">
        <v>325</v>
      </c>
      <c r="E40" s="69" t="s">
        <v>326</v>
      </c>
      <c r="F40" s="48" t="s">
        <v>327</v>
      </c>
      <c r="G40" s="48">
        <v>3600</v>
      </c>
      <c r="H40" s="48">
        <v>3600</v>
      </c>
      <c r="I40" s="48"/>
      <c r="J40" s="48"/>
      <c r="K40" s="48" t="s">
        <v>328</v>
      </c>
      <c r="L40" s="26" t="s">
        <v>329</v>
      </c>
    </row>
    <row r="41" spans="1:12" ht="39" x14ac:dyDescent="0.25">
      <c r="A41" s="26" t="s">
        <v>170</v>
      </c>
      <c r="B41" s="37">
        <v>42705</v>
      </c>
      <c r="C41" s="37">
        <v>43070</v>
      </c>
      <c r="D41" s="41" t="s">
        <v>241</v>
      </c>
      <c r="E41" s="29" t="s">
        <v>242</v>
      </c>
      <c r="F41" s="59" t="s">
        <v>243</v>
      </c>
      <c r="G41" s="60">
        <v>22360</v>
      </c>
      <c r="H41" s="26">
        <v>22360</v>
      </c>
      <c r="I41" s="26"/>
      <c r="J41" s="26"/>
      <c r="K41" s="36" t="s">
        <v>330</v>
      </c>
      <c r="L41" s="29" t="s">
        <v>331</v>
      </c>
    </row>
    <row r="42" spans="1:12" ht="15" x14ac:dyDescent="0.25">
      <c r="A42" s="26" t="s">
        <v>170</v>
      </c>
      <c r="B42" s="37">
        <v>42705</v>
      </c>
      <c r="C42" s="37">
        <v>43070</v>
      </c>
      <c r="D42" s="26" t="s">
        <v>332</v>
      </c>
      <c r="E42" s="66" t="s">
        <v>333</v>
      </c>
      <c r="F42" s="49" t="s">
        <v>334</v>
      </c>
      <c r="G42" s="26">
        <v>1083</v>
      </c>
      <c r="H42" s="26">
        <v>1083</v>
      </c>
      <c r="I42" s="26"/>
      <c r="J42" s="26"/>
      <c r="K42" s="26" t="s">
        <v>335</v>
      </c>
      <c r="L42" s="26" t="s">
        <v>336</v>
      </c>
    </row>
    <row r="43" spans="1:12" ht="15" x14ac:dyDescent="0.25">
      <c r="A43" s="26" t="s">
        <v>170</v>
      </c>
      <c r="B43" s="37">
        <v>42736</v>
      </c>
      <c r="C43" s="37">
        <v>43101</v>
      </c>
      <c r="D43" s="26" t="s">
        <v>337</v>
      </c>
      <c r="E43" s="66" t="s">
        <v>338</v>
      </c>
      <c r="F43" s="27" t="s">
        <v>339</v>
      </c>
      <c r="G43" s="26">
        <v>21758</v>
      </c>
      <c r="H43" s="26">
        <v>21758</v>
      </c>
      <c r="I43" s="26"/>
      <c r="J43" s="26"/>
      <c r="K43" s="26" t="s">
        <v>340</v>
      </c>
      <c r="L43" s="26" t="s">
        <v>341</v>
      </c>
    </row>
    <row r="44" spans="1:12" ht="15" x14ac:dyDescent="0.25">
      <c r="A44" s="26" t="s">
        <v>170</v>
      </c>
      <c r="B44" s="37">
        <v>42736</v>
      </c>
      <c r="C44" s="37">
        <v>43101</v>
      </c>
      <c r="D44" s="26" t="s">
        <v>342</v>
      </c>
      <c r="E44" s="70" t="s">
        <v>31</v>
      </c>
      <c r="F44" s="27" t="s">
        <v>343</v>
      </c>
      <c r="G44" s="26">
        <v>12712</v>
      </c>
      <c r="H44" s="26">
        <v>12712</v>
      </c>
      <c r="I44" s="26"/>
      <c r="J44" s="26"/>
      <c r="K44" s="26" t="s">
        <v>344</v>
      </c>
      <c r="L44" s="26" t="s">
        <v>345</v>
      </c>
    </row>
    <row r="45" spans="1:12" ht="55.5" x14ac:dyDescent="0.25">
      <c r="A45" s="26" t="s">
        <v>170</v>
      </c>
      <c r="B45" s="37">
        <v>42736</v>
      </c>
      <c r="C45" s="37">
        <v>43101</v>
      </c>
      <c r="D45" s="26" t="s">
        <v>346</v>
      </c>
      <c r="E45" s="66" t="s">
        <v>347</v>
      </c>
      <c r="F45" s="27" t="s">
        <v>348</v>
      </c>
      <c r="G45" s="26">
        <v>559750</v>
      </c>
      <c r="H45" s="26">
        <v>559750</v>
      </c>
      <c r="I45" s="26"/>
      <c r="J45" s="26"/>
      <c r="K45" s="26" t="s">
        <v>349</v>
      </c>
      <c r="L45" s="29" t="s">
        <v>350</v>
      </c>
    </row>
    <row r="46" spans="1:12" ht="27.75" x14ac:dyDescent="0.25">
      <c r="A46" s="26" t="s">
        <v>170</v>
      </c>
      <c r="B46" s="37">
        <v>42767</v>
      </c>
      <c r="C46" s="37">
        <v>43132</v>
      </c>
      <c r="D46" s="26" t="s">
        <v>346</v>
      </c>
      <c r="E46" s="66" t="s">
        <v>351</v>
      </c>
      <c r="F46" s="26" t="s">
        <v>352</v>
      </c>
      <c r="G46" s="26">
        <v>92614.75</v>
      </c>
      <c r="H46" s="26">
        <v>92614.75</v>
      </c>
      <c r="I46" s="26"/>
      <c r="J46" s="26"/>
      <c r="K46" s="26" t="s">
        <v>353</v>
      </c>
      <c r="L46" s="29" t="s">
        <v>354</v>
      </c>
    </row>
    <row r="47" spans="1:12" ht="27.75" x14ac:dyDescent="0.25">
      <c r="A47" s="26" t="s">
        <v>170</v>
      </c>
      <c r="B47" s="37">
        <v>42767</v>
      </c>
      <c r="C47" s="37">
        <v>43132</v>
      </c>
      <c r="D47" s="26" t="s">
        <v>355</v>
      </c>
      <c r="E47" s="66" t="s">
        <v>356</v>
      </c>
      <c r="F47" s="26" t="s">
        <v>266</v>
      </c>
      <c r="G47" s="26">
        <f>(55487-29413)*2</f>
        <v>52148</v>
      </c>
      <c r="H47" s="26">
        <f>(55487-29413)*2</f>
        <v>52148</v>
      </c>
      <c r="I47" s="26"/>
      <c r="J47" s="26"/>
      <c r="K47" s="26" t="s">
        <v>357</v>
      </c>
      <c r="L47" s="29" t="s">
        <v>358</v>
      </c>
    </row>
    <row r="48" spans="1:12" ht="27.75" x14ac:dyDescent="0.25">
      <c r="A48" s="26" t="s">
        <v>170</v>
      </c>
      <c r="B48" s="37">
        <v>42795</v>
      </c>
      <c r="C48" s="37">
        <v>43160</v>
      </c>
      <c r="D48" s="26" t="s">
        <v>359</v>
      </c>
      <c r="E48" s="66" t="s">
        <v>360</v>
      </c>
      <c r="F48" s="26">
        <v>1</v>
      </c>
      <c r="G48" s="26">
        <f>485000-340000</f>
        <v>145000</v>
      </c>
      <c r="H48" s="26">
        <f>485000-340000</f>
        <v>145000</v>
      </c>
      <c r="I48" s="26"/>
      <c r="J48" s="26"/>
      <c r="K48" s="26" t="s">
        <v>361</v>
      </c>
      <c r="L48" s="29" t="s">
        <v>362</v>
      </c>
    </row>
    <row r="49" spans="1:12" ht="64.5" x14ac:dyDescent="0.25">
      <c r="A49" s="26" t="s">
        <v>170</v>
      </c>
      <c r="B49" s="37">
        <v>42795</v>
      </c>
      <c r="C49" s="37">
        <v>43160</v>
      </c>
      <c r="D49" s="26" t="s">
        <v>363</v>
      </c>
      <c r="E49" s="66" t="s">
        <v>364</v>
      </c>
      <c r="F49" s="26">
        <v>3</v>
      </c>
      <c r="G49" s="26">
        <v>43000</v>
      </c>
      <c r="H49" s="26">
        <v>43000</v>
      </c>
      <c r="I49" s="26"/>
      <c r="J49" s="26"/>
      <c r="K49" s="26" t="s">
        <v>365</v>
      </c>
      <c r="L49" s="29" t="s">
        <v>366</v>
      </c>
    </row>
    <row r="50" spans="1:12" s="78" customFormat="1" ht="26.25" x14ac:dyDescent="0.25">
      <c r="A50" s="75"/>
      <c r="B50" s="33"/>
      <c r="C50" s="33"/>
      <c r="D50" s="75"/>
      <c r="E50" s="76"/>
      <c r="F50" s="77" t="s">
        <v>367</v>
      </c>
      <c r="G50" s="75">
        <v>811000</v>
      </c>
      <c r="H50" s="75">
        <v>811000</v>
      </c>
      <c r="I50" s="75"/>
      <c r="J50" s="75"/>
      <c r="K50" s="75"/>
      <c r="L50" s="77"/>
    </row>
    <row r="51" spans="1:12" ht="30" x14ac:dyDescent="0.25">
      <c r="F51" s="71" t="s">
        <v>368</v>
      </c>
      <c r="G51" s="72">
        <f>SUM(G3:G50)/100000</f>
        <v>23.4590675</v>
      </c>
      <c r="H51" s="73" t="s">
        <v>369</v>
      </c>
    </row>
    <row r="53" spans="1:12" x14ac:dyDescent="0.2">
      <c r="B53" s="74"/>
      <c r="D53" s="74"/>
      <c r="F53" s="74"/>
    </row>
    <row r="54" spans="1:12" x14ac:dyDescent="0.2">
      <c r="A54" s="25" t="s">
        <v>370</v>
      </c>
      <c r="G54" s="107">
        <f>G51*100000-G50</f>
        <v>1534906.75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6"/>
  <sheetViews>
    <sheetView topLeftCell="D40" workbookViewId="0">
      <selection activeCell="E57" sqref="E57"/>
    </sheetView>
  </sheetViews>
  <sheetFormatPr defaultRowHeight="12.75" x14ac:dyDescent="0.2"/>
  <cols>
    <col min="1" max="1" width="4.42578125" hidden="1" customWidth="1"/>
    <col min="2" max="2" width="38.28515625" hidden="1" customWidth="1"/>
    <col min="3" max="3" width="8.7109375" hidden="1" customWidth="1"/>
    <col min="4" max="4" width="47.5703125" bestFit="1" customWidth="1"/>
    <col min="5" max="5" width="15.5703125" bestFit="1" customWidth="1"/>
    <col min="6" max="6" width="10.140625" customWidth="1"/>
    <col min="7" max="7" width="16.5703125" customWidth="1"/>
    <col min="8" max="8" width="10.7109375" bestFit="1" customWidth="1"/>
    <col min="9" max="9" width="0" hidden="1" customWidth="1"/>
    <col min="10" max="10" width="26" bestFit="1" customWidth="1"/>
    <col min="11" max="11" width="13.28515625" bestFit="1" customWidth="1"/>
    <col min="12" max="13" width="14.7109375" bestFit="1" customWidth="1"/>
    <col min="14" max="14" width="66.28515625" bestFit="1" customWidth="1"/>
  </cols>
  <sheetData>
    <row r="1" spans="1:15" ht="60" x14ac:dyDescent="0.2">
      <c r="A1" s="79" t="s">
        <v>81</v>
      </c>
      <c r="B1" s="79" t="s">
        <v>165</v>
      </c>
      <c r="C1" s="80" t="s">
        <v>371</v>
      </c>
      <c r="D1" s="80" t="s">
        <v>74</v>
      </c>
      <c r="E1" s="79" t="s">
        <v>166</v>
      </c>
      <c r="F1" s="79" t="s">
        <v>157</v>
      </c>
      <c r="G1" s="79" t="s">
        <v>372</v>
      </c>
      <c r="H1" s="81" t="s">
        <v>373</v>
      </c>
      <c r="I1" s="79" t="s">
        <v>374</v>
      </c>
      <c r="J1" s="79" t="s">
        <v>375</v>
      </c>
      <c r="K1" s="79" t="s">
        <v>376</v>
      </c>
      <c r="L1" s="79" t="s">
        <v>377</v>
      </c>
      <c r="M1" s="79" t="s">
        <v>378</v>
      </c>
      <c r="N1" s="79" t="s">
        <v>169</v>
      </c>
    </row>
    <row r="2" spans="1:15" x14ac:dyDescent="0.2">
      <c r="A2" s="82">
        <v>1</v>
      </c>
      <c r="B2" s="83" t="s">
        <v>379</v>
      </c>
      <c r="C2" s="83"/>
      <c r="D2" s="84" t="s">
        <v>55</v>
      </c>
      <c r="E2" s="84">
        <v>1</v>
      </c>
      <c r="F2" s="83" t="s">
        <v>5</v>
      </c>
      <c r="G2" s="85">
        <v>162000</v>
      </c>
      <c r="H2" s="84"/>
      <c r="I2" s="84"/>
      <c r="J2" s="84">
        <v>3200026484</v>
      </c>
      <c r="K2" s="84" t="s">
        <v>380</v>
      </c>
      <c r="L2" s="84">
        <v>3200018357</v>
      </c>
      <c r="M2" s="84" t="s">
        <v>381</v>
      </c>
      <c r="N2" s="83" t="s">
        <v>382</v>
      </c>
    </row>
    <row r="3" spans="1:15" x14ac:dyDescent="0.2">
      <c r="A3" s="82">
        <v>2</v>
      </c>
      <c r="B3" s="86" t="s">
        <v>383</v>
      </c>
      <c r="C3" s="86"/>
      <c r="D3" s="86" t="s">
        <v>63</v>
      </c>
      <c r="E3" s="86">
        <v>1</v>
      </c>
      <c r="F3" s="83" t="s">
        <v>5</v>
      </c>
      <c r="G3" s="87">
        <v>75000</v>
      </c>
      <c r="H3" s="84"/>
      <c r="I3" s="84"/>
      <c r="J3" s="84">
        <v>3200026932</v>
      </c>
      <c r="K3" s="88">
        <v>42493</v>
      </c>
      <c r="L3" s="83" t="s">
        <v>11</v>
      </c>
      <c r="M3" s="83" t="s">
        <v>11</v>
      </c>
      <c r="N3" s="83" t="s">
        <v>384</v>
      </c>
    </row>
    <row r="4" spans="1:15" x14ac:dyDescent="0.2">
      <c r="A4" s="82">
        <v>3</v>
      </c>
      <c r="B4" s="83" t="s">
        <v>385</v>
      </c>
      <c r="C4" s="83"/>
      <c r="D4" s="83" t="s">
        <v>60</v>
      </c>
      <c r="E4" s="84">
        <v>1</v>
      </c>
      <c r="F4" s="83" t="s">
        <v>5</v>
      </c>
      <c r="G4" s="85">
        <v>50000</v>
      </c>
      <c r="H4" s="84"/>
      <c r="I4" s="84"/>
      <c r="J4" s="84">
        <v>3200027785</v>
      </c>
      <c r="K4" s="89">
        <v>42530</v>
      </c>
      <c r="L4" s="83" t="s">
        <v>11</v>
      </c>
      <c r="M4" s="83" t="s">
        <v>11</v>
      </c>
      <c r="N4" s="83" t="s">
        <v>386</v>
      </c>
    </row>
    <row r="5" spans="1:15" x14ac:dyDescent="0.2">
      <c r="A5" s="82">
        <v>4</v>
      </c>
      <c r="B5" s="84" t="s">
        <v>387</v>
      </c>
      <c r="C5" s="84"/>
      <c r="D5" s="84" t="s">
        <v>72</v>
      </c>
      <c r="E5" s="90">
        <v>1</v>
      </c>
      <c r="F5" s="83" t="s">
        <v>5</v>
      </c>
      <c r="G5" s="85">
        <v>11500</v>
      </c>
      <c r="H5" s="91"/>
      <c r="I5" s="84"/>
      <c r="J5" s="92">
        <v>3200026714</v>
      </c>
      <c r="K5" s="89">
        <v>42485</v>
      </c>
      <c r="L5" s="84">
        <v>3200022617</v>
      </c>
      <c r="M5" s="84" t="s">
        <v>388</v>
      </c>
      <c r="N5" s="83" t="s">
        <v>389</v>
      </c>
    </row>
    <row r="6" spans="1:15" x14ac:dyDescent="0.2">
      <c r="A6" s="82">
        <v>5</v>
      </c>
      <c r="B6" s="84" t="s">
        <v>390</v>
      </c>
      <c r="C6" s="84"/>
      <c r="D6" s="84" t="s">
        <v>68</v>
      </c>
      <c r="E6" s="90">
        <v>1</v>
      </c>
      <c r="F6" s="83" t="s">
        <v>5</v>
      </c>
      <c r="G6" s="85">
        <v>8000</v>
      </c>
      <c r="H6" s="91"/>
      <c r="I6" s="84"/>
      <c r="J6" s="84">
        <v>3200026977</v>
      </c>
      <c r="K6" s="89">
        <v>42495</v>
      </c>
      <c r="L6" s="84">
        <v>3200016819</v>
      </c>
      <c r="M6" s="84" t="s">
        <v>391</v>
      </c>
      <c r="N6" s="83" t="s">
        <v>392</v>
      </c>
    </row>
    <row r="7" spans="1:15" x14ac:dyDescent="0.2">
      <c r="A7" s="82">
        <v>6</v>
      </c>
      <c r="B7" s="84" t="s">
        <v>390</v>
      </c>
      <c r="C7" s="84"/>
      <c r="D7" s="84" t="s">
        <v>69</v>
      </c>
      <c r="E7" s="90">
        <v>1</v>
      </c>
      <c r="F7" s="83" t="s">
        <v>5</v>
      </c>
      <c r="G7" s="85">
        <v>8000</v>
      </c>
      <c r="H7" s="91"/>
      <c r="I7" s="84"/>
      <c r="J7" s="92">
        <v>3200026891</v>
      </c>
      <c r="K7" s="89">
        <v>42493</v>
      </c>
      <c r="L7" s="84">
        <v>3200016819</v>
      </c>
      <c r="M7" s="84" t="s">
        <v>391</v>
      </c>
      <c r="N7" s="83" t="s">
        <v>392</v>
      </c>
    </row>
    <row r="8" spans="1:15" x14ac:dyDescent="0.2">
      <c r="A8" s="82">
        <v>7</v>
      </c>
      <c r="B8" s="84" t="s">
        <v>393</v>
      </c>
      <c r="C8" s="84"/>
      <c r="D8" s="84" t="s">
        <v>18</v>
      </c>
      <c r="E8" s="90">
        <v>1</v>
      </c>
      <c r="F8" s="83" t="s">
        <v>5</v>
      </c>
      <c r="G8" s="85">
        <v>6000</v>
      </c>
      <c r="H8" s="91"/>
      <c r="I8" s="84"/>
      <c r="J8" s="92">
        <v>3200026989</v>
      </c>
      <c r="K8" s="89">
        <v>42495</v>
      </c>
      <c r="L8" s="84">
        <v>3200019476</v>
      </c>
      <c r="M8" s="83" t="s">
        <v>394</v>
      </c>
      <c r="N8" s="83" t="s">
        <v>395</v>
      </c>
    </row>
    <row r="9" spans="1:15" x14ac:dyDescent="0.2">
      <c r="A9" s="82">
        <v>8</v>
      </c>
      <c r="B9" s="84" t="s">
        <v>396</v>
      </c>
      <c r="C9" s="84"/>
      <c r="D9" s="84" t="s">
        <v>73</v>
      </c>
      <c r="E9" s="90">
        <v>1</v>
      </c>
      <c r="F9" s="83" t="s">
        <v>5</v>
      </c>
      <c r="G9" s="85">
        <v>3000</v>
      </c>
      <c r="H9" s="91"/>
      <c r="I9" s="84"/>
      <c r="J9" s="92">
        <v>3200026456</v>
      </c>
      <c r="K9" s="89">
        <v>42478</v>
      </c>
      <c r="L9" s="84">
        <v>3200016906</v>
      </c>
      <c r="M9" s="84" t="s">
        <v>397</v>
      </c>
      <c r="N9" s="83" t="s">
        <v>398</v>
      </c>
    </row>
    <row r="10" spans="1:15" x14ac:dyDescent="0.2">
      <c r="A10" s="82">
        <v>9</v>
      </c>
      <c r="B10" s="84" t="s">
        <v>399</v>
      </c>
      <c r="C10" s="84"/>
      <c r="D10" s="84" t="s">
        <v>71</v>
      </c>
      <c r="E10" s="90">
        <v>1</v>
      </c>
      <c r="F10" s="83" t="s">
        <v>5</v>
      </c>
      <c r="G10" s="85">
        <v>2500</v>
      </c>
      <c r="H10" s="91"/>
      <c r="I10" s="84"/>
      <c r="J10" s="92">
        <v>3200026731</v>
      </c>
      <c r="K10" s="89">
        <v>42486</v>
      </c>
      <c r="L10" s="83" t="s">
        <v>11</v>
      </c>
      <c r="M10" s="83" t="s">
        <v>11</v>
      </c>
      <c r="N10" s="83" t="s">
        <v>400</v>
      </c>
    </row>
    <row r="11" spans="1:15" x14ac:dyDescent="0.2">
      <c r="A11" s="82">
        <v>10</v>
      </c>
      <c r="B11" s="84" t="s">
        <v>387</v>
      </c>
      <c r="C11" s="84"/>
      <c r="D11" s="84" t="s">
        <v>64</v>
      </c>
      <c r="E11" s="90">
        <v>1</v>
      </c>
      <c r="F11" s="83" t="s">
        <v>5</v>
      </c>
      <c r="G11" s="85">
        <v>1300</v>
      </c>
      <c r="H11" s="91"/>
      <c r="I11" s="84"/>
      <c r="J11" s="92">
        <v>3200027364</v>
      </c>
      <c r="K11" s="89">
        <v>42510</v>
      </c>
      <c r="L11" s="84">
        <v>3200022617</v>
      </c>
      <c r="M11" s="84" t="s">
        <v>388</v>
      </c>
      <c r="N11" s="83" t="s">
        <v>389</v>
      </c>
    </row>
    <row r="12" spans="1:15" x14ac:dyDescent="0.2">
      <c r="A12" s="82">
        <v>11</v>
      </c>
      <c r="B12" s="84" t="s">
        <v>401</v>
      </c>
      <c r="C12" s="84"/>
      <c r="D12" s="84" t="s">
        <v>70</v>
      </c>
      <c r="E12" s="90">
        <v>1</v>
      </c>
      <c r="F12" s="83" t="s">
        <v>5</v>
      </c>
      <c r="G12" s="85">
        <v>100</v>
      </c>
      <c r="H12" s="91"/>
      <c r="I12" s="84"/>
      <c r="J12" s="92">
        <v>3200026720</v>
      </c>
      <c r="K12" s="89">
        <v>42486</v>
      </c>
      <c r="L12" s="83" t="s">
        <v>11</v>
      </c>
      <c r="M12" s="83" t="s">
        <v>11</v>
      </c>
      <c r="N12" s="84"/>
    </row>
    <row r="13" spans="1:15" x14ac:dyDescent="0.2">
      <c r="A13" s="82">
        <v>12</v>
      </c>
      <c r="B13" s="84" t="s">
        <v>402</v>
      </c>
      <c r="C13" s="84"/>
      <c r="D13" s="84" t="s">
        <v>19</v>
      </c>
      <c r="E13" s="90">
        <v>1</v>
      </c>
      <c r="F13" s="83" t="s">
        <v>5</v>
      </c>
      <c r="G13" s="85">
        <v>90</v>
      </c>
      <c r="H13" s="91"/>
      <c r="I13" s="84"/>
      <c r="J13" s="92">
        <v>3200026991</v>
      </c>
      <c r="K13" s="89">
        <v>42495</v>
      </c>
      <c r="L13" s="84">
        <v>3200022617</v>
      </c>
      <c r="M13" s="84" t="s">
        <v>388</v>
      </c>
      <c r="N13" s="83" t="s">
        <v>389</v>
      </c>
    </row>
    <row r="14" spans="1:15" x14ac:dyDescent="0.2">
      <c r="A14" s="82">
        <v>13</v>
      </c>
      <c r="B14" s="84" t="s">
        <v>387</v>
      </c>
      <c r="C14" s="84"/>
      <c r="D14" s="84" t="s">
        <v>67</v>
      </c>
      <c r="E14" s="90">
        <v>1</v>
      </c>
      <c r="F14" s="83" t="s">
        <v>5</v>
      </c>
      <c r="G14" s="85">
        <v>60</v>
      </c>
      <c r="H14" s="91"/>
      <c r="I14" s="84"/>
      <c r="J14" s="92">
        <v>3200027188</v>
      </c>
      <c r="K14" s="89">
        <v>42501</v>
      </c>
      <c r="L14" s="84">
        <v>3200022617</v>
      </c>
      <c r="M14" s="84" t="s">
        <v>388</v>
      </c>
      <c r="N14" s="84"/>
    </row>
    <row r="15" spans="1:15" x14ac:dyDescent="0.2">
      <c r="A15" s="82">
        <v>14</v>
      </c>
      <c r="B15" s="84" t="s">
        <v>399</v>
      </c>
      <c r="C15" s="84"/>
      <c r="D15" s="84" t="s">
        <v>51</v>
      </c>
      <c r="E15" s="90">
        <v>1</v>
      </c>
      <c r="F15" s="83" t="s">
        <v>5</v>
      </c>
      <c r="G15" s="85">
        <f>15*(775-600)</f>
        <v>2625</v>
      </c>
      <c r="H15" s="91"/>
      <c r="I15" s="84"/>
      <c r="J15" s="92" t="s">
        <v>403</v>
      </c>
      <c r="K15" s="89">
        <v>42585</v>
      </c>
      <c r="L15" s="84" t="s">
        <v>11</v>
      </c>
      <c r="M15" s="84" t="s">
        <v>11</v>
      </c>
      <c r="N15" s="83" t="s">
        <v>400</v>
      </c>
      <c r="O15" s="82"/>
    </row>
    <row r="16" spans="1:15" x14ac:dyDescent="0.2">
      <c r="A16" s="82">
        <v>15</v>
      </c>
      <c r="B16" s="84" t="s">
        <v>404</v>
      </c>
      <c r="C16" s="84"/>
      <c r="D16" s="84" t="s">
        <v>59</v>
      </c>
      <c r="E16" s="90">
        <v>1</v>
      </c>
      <c r="F16" s="83" t="s">
        <v>5</v>
      </c>
      <c r="G16" s="85">
        <f>190000*2%</f>
        <v>3800</v>
      </c>
      <c r="H16" s="91"/>
      <c r="I16" s="84"/>
      <c r="J16" s="92">
        <v>3200028124</v>
      </c>
      <c r="K16" s="89">
        <v>42543</v>
      </c>
      <c r="L16" s="84">
        <v>3200019943</v>
      </c>
      <c r="M16" s="84" t="s">
        <v>405</v>
      </c>
      <c r="N16" s="83" t="s">
        <v>406</v>
      </c>
      <c r="O16" s="82"/>
    </row>
    <row r="17" spans="1:15" x14ac:dyDescent="0.2">
      <c r="A17" s="82">
        <v>16</v>
      </c>
      <c r="B17" s="84" t="s">
        <v>407</v>
      </c>
      <c r="C17" s="84">
        <v>1302535</v>
      </c>
      <c r="D17" s="84" t="s">
        <v>53</v>
      </c>
      <c r="E17" s="90">
        <v>2</v>
      </c>
      <c r="F17" s="93" t="s">
        <v>159</v>
      </c>
      <c r="G17" s="85">
        <f>6000*E17</f>
        <v>12000</v>
      </c>
      <c r="H17" s="91"/>
      <c r="I17" s="84"/>
      <c r="J17" s="92">
        <v>3000032971</v>
      </c>
      <c r="K17" s="89">
        <v>42577</v>
      </c>
      <c r="L17" s="84">
        <v>3000011020</v>
      </c>
      <c r="M17" s="84" t="s">
        <v>408</v>
      </c>
      <c r="N17" s="83" t="s">
        <v>409</v>
      </c>
      <c r="O17" s="82"/>
    </row>
    <row r="18" spans="1:15" x14ac:dyDescent="0.2">
      <c r="A18" s="82">
        <v>17</v>
      </c>
      <c r="B18" s="84" t="s">
        <v>410</v>
      </c>
      <c r="C18" s="84">
        <v>1300852</v>
      </c>
      <c r="D18" s="84" t="s">
        <v>54</v>
      </c>
      <c r="E18" s="90">
        <v>16</v>
      </c>
      <c r="F18" s="93" t="s">
        <v>159</v>
      </c>
      <c r="G18" s="85">
        <f>100*E18</f>
        <v>1600</v>
      </c>
      <c r="H18" s="91"/>
      <c r="I18" s="84"/>
      <c r="J18" s="92">
        <v>3000032634</v>
      </c>
      <c r="K18" s="89">
        <v>42566</v>
      </c>
      <c r="L18" s="84">
        <v>3000003763</v>
      </c>
      <c r="M18" s="84" t="s">
        <v>411</v>
      </c>
      <c r="N18" s="83" t="s">
        <v>412</v>
      </c>
      <c r="O18" s="82"/>
    </row>
    <row r="19" spans="1:15" x14ac:dyDescent="0.2">
      <c r="A19" s="82">
        <v>18</v>
      </c>
      <c r="B19" s="84" t="s">
        <v>413</v>
      </c>
      <c r="C19" s="84">
        <v>1317111</v>
      </c>
      <c r="D19" s="84" t="s">
        <v>57</v>
      </c>
      <c r="E19" s="90">
        <v>2</v>
      </c>
      <c r="F19" s="93" t="s">
        <v>159</v>
      </c>
      <c r="G19" s="85">
        <f>(19716-19080)*E19</f>
        <v>1272</v>
      </c>
      <c r="H19" s="91"/>
      <c r="I19" s="84"/>
      <c r="J19" s="92">
        <v>3000032022</v>
      </c>
      <c r="K19" s="89">
        <v>42549</v>
      </c>
      <c r="L19" s="84">
        <v>3000012624</v>
      </c>
      <c r="M19" s="84" t="s">
        <v>414</v>
      </c>
      <c r="N19" s="83" t="s">
        <v>415</v>
      </c>
      <c r="O19" s="82"/>
    </row>
    <row r="20" spans="1:15" x14ac:dyDescent="0.2">
      <c r="A20" s="82">
        <v>19</v>
      </c>
      <c r="B20" s="84" t="s">
        <v>416</v>
      </c>
      <c r="C20" s="84">
        <v>1303727</v>
      </c>
      <c r="D20" s="84" t="s">
        <v>49</v>
      </c>
      <c r="E20" s="90">
        <v>4</v>
      </c>
      <c r="F20" s="93" t="s">
        <v>159</v>
      </c>
      <c r="G20" s="85">
        <f>(6500-6000)*E20</f>
        <v>2000</v>
      </c>
      <c r="H20" s="91"/>
      <c r="I20" s="84"/>
      <c r="J20" s="92">
        <v>3000034369</v>
      </c>
      <c r="K20" s="89">
        <v>42620</v>
      </c>
      <c r="L20" s="84">
        <v>3000001024</v>
      </c>
      <c r="M20" s="84" t="s">
        <v>417</v>
      </c>
      <c r="N20" s="83" t="s">
        <v>418</v>
      </c>
      <c r="O20" s="82"/>
    </row>
    <row r="21" spans="1:15" x14ac:dyDescent="0.2">
      <c r="A21" s="82">
        <v>20</v>
      </c>
      <c r="B21" s="84" t="s">
        <v>419</v>
      </c>
      <c r="C21" s="84">
        <v>1324948</v>
      </c>
      <c r="D21" s="84" t="s">
        <v>48</v>
      </c>
      <c r="E21" s="90">
        <v>6</v>
      </c>
      <c r="F21" s="93" t="s">
        <v>159</v>
      </c>
      <c r="G21" s="85">
        <f>(1200-1107)*E21</f>
        <v>558</v>
      </c>
      <c r="H21" s="91"/>
      <c r="I21" s="84"/>
      <c r="J21" s="92">
        <v>3000034633</v>
      </c>
      <c r="K21" s="89">
        <v>42629</v>
      </c>
      <c r="L21" s="84">
        <v>4500059431</v>
      </c>
      <c r="M21" s="84">
        <v>40523</v>
      </c>
      <c r="N21" s="83" t="s">
        <v>420</v>
      </c>
      <c r="O21" s="82"/>
    </row>
    <row r="22" spans="1:15" x14ac:dyDescent="0.2">
      <c r="A22" s="82">
        <v>21</v>
      </c>
      <c r="B22" s="84" t="s">
        <v>421</v>
      </c>
      <c r="C22" s="84">
        <v>1300883</v>
      </c>
      <c r="D22" s="84" t="s">
        <v>50</v>
      </c>
      <c r="E22" s="90">
        <v>200</v>
      </c>
      <c r="F22" s="93" t="s">
        <v>422</v>
      </c>
      <c r="G22" s="85">
        <f>(7.64-6.8)*E22</f>
        <v>167.99999999999997</v>
      </c>
      <c r="H22" s="91"/>
      <c r="I22" s="84"/>
      <c r="J22" s="92">
        <v>3000034146</v>
      </c>
      <c r="K22" s="89">
        <v>42612</v>
      </c>
      <c r="L22" s="84">
        <v>3000027069</v>
      </c>
      <c r="M22" s="84" t="s">
        <v>423</v>
      </c>
      <c r="N22" s="83"/>
      <c r="O22" s="82"/>
    </row>
    <row r="23" spans="1:15" x14ac:dyDescent="0.2">
      <c r="A23" s="82">
        <v>22</v>
      </c>
      <c r="B23" s="84" t="s">
        <v>399</v>
      </c>
      <c r="C23" s="84"/>
      <c r="D23" s="84" t="s">
        <v>58</v>
      </c>
      <c r="E23" s="90">
        <v>10</v>
      </c>
      <c r="F23" s="93" t="s">
        <v>5</v>
      </c>
      <c r="G23" s="85">
        <f>(675-600)*E23</f>
        <v>750</v>
      </c>
      <c r="H23" s="91"/>
      <c r="I23" s="84"/>
      <c r="J23" s="92">
        <v>3200029112</v>
      </c>
      <c r="K23" s="89">
        <v>42585</v>
      </c>
      <c r="L23" s="84"/>
      <c r="M23" s="84"/>
      <c r="N23" s="83"/>
      <c r="O23" s="82"/>
    </row>
    <row r="24" spans="1:15" x14ac:dyDescent="0.2">
      <c r="A24" s="82">
        <v>27</v>
      </c>
      <c r="B24" s="83" t="s">
        <v>424</v>
      </c>
      <c r="C24" s="84" t="s">
        <v>0</v>
      </c>
      <c r="D24" s="84" t="s">
        <v>46</v>
      </c>
      <c r="E24" s="90">
        <v>1</v>
      </c>
      <c r="F24" s="93" t="s">
        <v>5</v>
      </c>
      <c r="G24" s="85">
        <f>(16000-14500)*4</f>
        <v>6000</v>
      </c>
      <c r="H24" s="91"/>
      <c r="I24" s="84"/>
      <c r="J24" s="92">
        <v>3200030350</v>
      </c>
      <c r="K24" s="89">
        <v>42646</v>
      </c>
      <c r="L24" s="84"/>
      <c r="M24" s="84"/>
      <c r="N24" s="83"/>
      <c r="O24" s="82"/>
    </row>
    <row r="25" spans="1:15" x14ac:dyDescent="0.2">
      <c r="A25" s="82">
        <v>31</v>
      </c>
      <c r="B25" s="84" t="s">
        <v>425</v>
      </c>
      <c r="C25" s="84">
        <v>1302446</v>
      </c>
      <c r="D25" s="84" t="s">
        <v>45</v>
      </c>
      <c r="E25" s="90">
        <v>3</v>
      </c>
      <c r="F25" s="93" t="s">
        <v>3</v>
      </c>
      <c r="G25" s="2">
        <f>3*(2343.45-1473.75)</f>
        <v>2609.0999999999995</v>
      </c>
      <c r="H25" s="91"/>
      <c r="I25" s="84"/>
      <c r="J25" s="92">
        <v>3000035156</v>
      </c>
      <c r="K25" s="89">
        <v>42646</v>
      </c>
      <c r="L25" s="4">
        <v>3000012280</v>
      </c>
      <c r="M25" s="1">
        <v>41858</v>
      </c>
      <c r="N25" s="83" t="s">
        <v>426</v>
      </c>
      <c r="O25" s="82"/>
    </row>
    <row r="26" spans="1:15" x14ac:dyDescent="0.2">
      <c r="A26" s="82">
        <v>34</v>
      </c>
      <c r="B26" s="84" t="s">
        <v>425</v>
      </c>
      <c r="C26" s="84">
        <v>1302405</v>
      </c>
      <c r="D26" s="84" t="s">
        <v>44</v>
      </c>
      <c r="E26" s="90">
        <v>2</v>
      </c>
      <c r="F26" s="93" t="s">
        <v>3</v>
      </c>
      <c r="G26" s="2">
        <f>E26*(4628-3000)</f>
        <v>3256</v>
      </c>
      <c r="H26" s="91"/>
      <c r="I26" s="84"/>
      <c r="J26" s="92">
        <v>3000035315</v>
      </c>
      <c r="K26" s="89">
        <v>42650</v>
      </c>
      <c r="L26" s="4">
        <v>3000021102</v>
      </c>
      <c r="M26" s="1">
        <v>42161</v>
      </c>
      <c r="N26" s="83" t="s">
        <v>427</v>
      </c>
      <c r="O26" s="82"/>
    </row>
    <row r="27" spans="1:15" x14ac:dyDescent="0.2">
      <c r="A27" s="82">
        <v>39</v>
      </c>
      <c r="B27" s="84" t="s">
        <v>428</v>
      </c>
      <c r="C27" s="84">
        <v>2002015</v>
      </c>
      <c r="D27" s="84" t="s">
        <v>43</v>
      </c>
      <c r="E27" s="90">
        <v>2</v>
      </c>
      <c r="F27" s="93" t="s">
        <v>3</v>
      </c>
      <c r="G27" s="2">
        <f>E27*(9500-8850)</f>
        <v>1300</v>
      </c>
      <c r="H27" s="91"/>
      <c r="I27" s="84"/>
      <c r="J27" s="92">
        <v>3000035446</v>
      </c>
      <c r="K27" s="89">
        <v>42657</v>
      </c>
      <c r="L27" s="4">
        <v>3000035005</v>
      </c>
      <c r="M27" s="1">
        <v>42640</v>
      </c>
      <c r="N27" s="83"/>
      <c r="O27" s="82"/>
    </row>
    <row r="28" spans="1:15" x14ac:dyDescent="0.2">
      <c r="A28" s="82">
        <v>42</v>
      </c>
      <c r="B28" s="84" t="s">
        <v>429</v>
      </c>
      <c r="C28" s="84">
        <v>1316713</v>
      </c>
      <c r="D28" s="84" t="s">
        <v>23</v>
      </c>
      <c r="E28" s="90">
        <v>28</v>
      </c>
      <c r="F28" s="93" t="s">
        <v>3</v>
      </c>
      <c r="G28" s="85">
        <f>E28*(8181-5744)</f>
        <v>68236</v>
      </c>
      <c r="H28" s="91"/>
      <c r="I28" s="84"/>
      <c r="J28" s="4">
        <v>3000039354</v>
      </c>
      <c r="K28" s="1">
        <v>42789</v>
      </c>
      <c r="L28" s="4">
        <v>3000019710</v>
      </c>
      <c r="M28" s="1">
        <v>42118</v>
      </c>
      <c r="N28" s="83" t="s">
        <v>430</v>
      </c>
      <c r="O28" s="82"/>
    </row>
    <row r="29" spans="1:15" x14ac:dyDescent="0.2">
      <c r="A29" s="82">
        <v>46</v>
      </c>
      <c r="B29" s="84" t="s">
        <v>431</v>
      </c>
      <c r="C29" s="84">
        <v>1321725</v>
      </c>
      <c r="D29" s="84" t="s">
        <v>20</v>
      </c>
      <c r="E29" s="90">
        <v>1045</v>
      </c>
      <c r="F29" s="93" t="s">
        <v>9</v>
      </c>
      <c r="G29" s="85">
        <v>3000</v>
      </c>
      <c r="H29" s="91"/>
      <c r="I29" s="84"/>
      <c r="J29" s="92">
        <v>3000035685</v>
      </c>
      <c r="K29" s="89">
        <v>42664</v>
      </c>
      <c r="L29" s="4">
        <v>3000024693</v>
      </c>
      <c r="M29" s="1">
        <v>42285</v>
      </c>
      <c r="N29" s="83" t="s">
        <v>432</v>
      </c>
      <c r="O29" s="82"/>
    </row>
    <row r="30" spans="1:15" x14ac:dyDescent="0.2">
      <c r="A30" s="82">
        <v>49</v>
      </c>
      <c r="B30" s="84" t="s">
        <v>433</v>
      </c>
      <c r="C30" s="84">
        <v>1300724</v>
      </c>
      <c r="D30" s="84" t="s">
        <v>38</v>
      </c>
      <c r="E30" s="90">
        <f>24+30</f>
        <v>54</v>
      </c>
      <c r="F30" s="93" t="s">
        <v>3</v>
      </c>
      <c r="G30" s="85">
        <f>E30*(36-34.5)</f>
        <v>81</v>
      </c>
      <c r="H30" s="91"/>
      <c r="I30" s="84"/>
      <c r="J30" s="92">
        <v>3000035616</v>
      </c>
      <c r="K30" s="89">
        <v>42664</v>
      </c>
      <c r="L30" s="4">
        <v>3000028522</v>
      </c>
      <c r="M30" s="1">
        <v>42425</v>
      </c>
      <c r="N30" s="83" t="s">
        <v>434</v>
      </c>
      <c r="O30" s="82"/>
    </row>
    <row r="31" spans="1:15" x14ac:dyDescent="0.2">
      <c r="A31" s="82">
        <v>61</v>
      </c>
      <c r="B31" s="84" t="s">
        <v>435</v>
      </c>
      <c r="C31" s="84">
        <v>1317045</v>
      </c>
      <c r="D31" s="84" t="s">
        <v>39</v>
      </c>
      <c r="E31" s="90">
        <v>3</v>
      </c>
      <c r="F31" s="93" t="s">
        <v>3</v>
      </c>
      <c r="G31" s="85">
        <f>E31*(57348.65-57000)</f>
        <v>1045.9500000000044</v>
      </c>
      <c r="H31" s="91"/>
      <c r="I31" s="84"/>
      <c r="J31" s="92">
        <v>3000036568</v>
      </c>
      <c r="K31" s="89">
        <v>42697</v>
      </c>
      <c r="L31" s="4">
        <v>3000025592</v>
      </c>
      <c r="M31" s="1">
        <v>42318</v>
      </c>
      <c r="N31" s="83" t="s">
        <v>436</v>
      </c>
      <c r="O31" s="82"/>
    </row>
    <row r="32" spans="1:15" x14ac:dyDescent="0.2">
      <c r="A32" s="82">
        <v>66</v>
      </c>
      <c r="B32" s="84" t="s">
        <v>429</v>
      </c>
      <c r="C32" s="84">
        <v>1318172</v>
      </c>
      <c r="D32" s="84" t="s">
        <v>26</v>
      </c>
      <c r="E32" s="90">
        <v>23</v>
      </c>
      <c r="F32" s="93" t="s">
        <v>3</v>
      </c>
      <c r="G32" s="85">
        <f>E32*(7752-6546)</f>
        <v>27738</v>
      </c>
      <c r="H32" s="91"/>
      <c r="I32" s="84"/>
      <c r="J32" s="92">
        <v>3000036917</v>
      </c>
      <c r="K32" s="89">
        <v>42706</v>
      </c>
      <c r="L32" s="4">
        <v>3000021686</v>
      </c>
      <c r="M32" s="1">
        <v>42179</v>
      </c>
      <c r="N32" s="83" t="s">
        <v>437</v>
      </c>
      <c r="O32" s="82"/>
    </row>
    <row r="33" spans="1:15" x14ac:dyDescent="0.2">
      <c r="A33" s="82">
        <v>68</v>
      </c>
      <c r="B33" s="84" t="s">
        <v>438</v>
      </c>
      <c r="C33" s="84">
        <v>1318288</v>
      </c>
      <c r="D33" s="84" t="s">
        <v>36</v>
      </c>
      <c r="E33" s="90">
        <v>30</v>
      </c>
      <c r="F33" s="93" t="s">
        <v>7</v>
      </c>
      <c r="G33" s="85">
        <f>E33*(300-293)</f>
        <v>210</v>
      </c>
      <c r="H33" s="91"/>
      <c r="I33" s="84"/>
      <c r="J33" s="92">
        <v>3000036894</v>
      </c>
      <c r="K33" s="89">
        <v>42706</v>
      </c>
      <c r="L33" s="4">
        <v>3000005652</v>
      </c>
      <c r="M33" s="1">
        <v>41632</v>
      </c>
      <c r="N33" s="94" t="s">
        <v>439</v>
      </c>
      <c r="O33" s="82"/>
    </row>
    <row r="34" spans="1:15" x14ac:dyDescent="0.2">
      <c r="A34" s="82">
        <v>69</v>
      </c>
      <c r="B34" s="84" t="s">
        <v>438</v>
      </c>
      <c r="C34" s="84">
        <v>1301579</v>
      </c>
      <c r="D34" s="84" t="s">
        <v>37</v>
      </c>
      <c r="E34" s="90">
        <v>80</v>
      </c>
      <c r="F34" s="93" t="s">
        <v>7</v>
      </c>
      <c r="G34" s="85">
        <f>E34*(120-110)</f>
        <v>800</v>
      </c>
      <c r="H34" s="91"/>
      <c r="I34" s="84"/>
      <c r="J34" s="92">
        <v>3000036908</v>
      </c>
      <c r="K34" s="89">
        <v>42706</v>
      </c>
      <c r="L34" s="4">
        <v>3000031197</v>
      </c>
      <c r="M34" s="1">
        <v>42522</v>
      </c>
      <c r="N34" s="94" t="s">
        <v>439</v>
      </c>
      <c r="O34" s="82"/>
    </row>
    <row r="35" spans="1:15" x14ac:dyDescent="0.2">
      <c r="A35" s="82">
        <v>73</v>
      </c>
      <c r="B35" s="84" t="s">
        <v>440</v>
      </c>
      <c r="C35" s="84">
        <v>1324581</v>
      </c>
      <c r="D35" s="84" t="s">
        <v>34</v>
      </c>
      <c r="E35" s="90">
        <v>7</v>
      </c>
      <c r="F35" s="93" t="s">
        <v>3</v>
      </c>
      <c r="G35" s="85">
        <v>300</v>
      </c>
      <c r="H35" s="91"/>
      <c r="I35" s="84"/>
      <c r="J35" s="92">
        <v>3000037438</v>
      </c>
      <c r="K35" s="89">
        <v>42726</v>
      </c>
      <c r="L35" s="84"/>
      <c r="M35" s="84"/>
      <c r="N35" s="83" t="s">
        <v>441</v>
      </c>
      <c r="O35" s="82"/>
    </row>
    <row r="36" spans="1:15" x14ac:dyDescent="0.2">
      <c r="A36" s="82">
        <v>74</v>
      </c>
      <c r="B36" s="84" t="s">
        <v>442</v>
      </c>
      <c r="C36" s="84">
        <v>1325359</v>
      </c>
      <c r="D36" s="84" t="s">
        <v>35</v>
      </c>
      <c r="E36" s="90">
        <v>1</v>
      </c>
      <c r="F36" s="93" t="s">
        <v>3</v>
      </c>
      <c r="G36" s="85">
        <f>30000*5%</f>
        <v>1500</v>
      </c>
      <c r="H36" s="91"/>
      <c r="I36" s="84"/>
      <c r="J36" s="92">
        <v>3000037474</v>
      </c>
      <c r="K36" s="89">
        <v>42726</v>
      </c>
      <c r="L36" s="84"/>
      <c r="M36" s="84"/>
      <c r="N36" s="83" t="s">
        <v>443</v>
      </c>
      <c r="O36" s="82"/>
    </row>
    <row r="37" spans="1:15" x14ac:dyDescent="0.2">
      <c r="A37" s="82">
        <v>75</v>
      </c>
      <c r="B37" s="84" t="s">
        <v>444</v>
      </c>
      <c r="C37" s="84">
        <v>1302665</v>
      </c>
      <c r="D37" s="84" t="s">
        <v>25</v>
      </c>
      <c r="E37" s="90">
        <v>8</v>
      </c>
      <c r="F37" s="93" t="s">
        <v>3</v>
      </c>
      <c r="G37" s="85">
        <f>E37*(4950-2850)</f>
        <v>16800</v>
      </c>
      <c r="H37" s="91"/>
      <c r="I37" s="84"/>
      <c r="J37" s="92">
        <v>3000037470</v>
      </c>
      <c r="K37" s="89">
        <v>42726</v>
      </c>
      <c r="L37" s="4">
        <v>3000027642</v>
      </c>
      <c r="M37" s="1">
        <v>42397</v>
      </c>
      <c r="N37" s="83" t="s">
        <v>445</v>
      </c>
      <c r="O37" s="82"/>
    </row>
    <row r="38" spans="1:15" x14ac:dyDescent="0.2">
      <c r="A38" s="82">
        <v>76</v>
      </c>
      <c r="B38" s="84" t="s">
        <v>446</v>
      </c>
      <c r="C38" s="84">
        <v>1300856</v>
      </c>
      <c r="D38" s="84" t="s">
        <v>33</v>
      </c>
      <c r="E38" s="90">
        <v>12</v>
      </c>
      <c r="F38" s="93" t="s">
        <v>3</v>
      </c>
      <c r="G38" s="85">
        <f>E38*(640-590)</f>
        <v>600</v>
      </c>
      <c r="H38" s="91"/>
      <c r="I38" s="84"/>
      <c r="J38" s="92">
        <v>3000037501</v>
      </c>
      <c r="K38" s="89">
        <v>42727</v>
      </c>
      <c r="L38" s="4">
        <v>3000026033</v>
      </c>
      <c r="M38" s="1">
        <v>42335</v>
      </c>
      <c r="N38" s="83" t="s">
        <v>447</v>
      </c>
      <c r="O38" s="82"/>
    </row>
    <row r="39" spans="1:15" x14ac:dyDescent="0.2">
      <c r="A39" s="82">
        <v>77</v>
      </c>
      <c r="B39" s="84" t="s">
        <v>442</v>
      </c>
      <c r="C39" s="84">
        <v>1325239</v>
      </c>
      <c r="D39" s="84" t="s">
        <v>32</v>
      </c>
      <c r="E39" s="90">
        <v>1</v>
      </c>
      <c r="F39" s="93" t="s">
        <v>3</v>
      </c>
      <c r="G39" s="85">
        <f>18080*5%</f>
        <v>904</v>
      </c>
      <c r="H39" s="91"/>
      <c r="I39" s="84"/>
      <c r="J39" s="92">
        <v>3000037675</v>
      </c>
      <c r="K39" s="89">
        <v>42733</v>
      </c>
      <c r="L39" s="84"/>
      <c r="M39" s="84"/>
      <c r="N39" s="83" t="s">
        <v>443</v>
      </c>
      <c r="O39" s="82"/>
    </row>
    <row r="40" spans="1:15" x14ac:dyDescent="0.2">
      <c r="A40" s="82">
        <v>78</v>
      </c>
      <c r="B40" s="84" t="s">
        <v>448</v>
      </c>
      <c r="C40" s="84">
        <v>1318291</v>
      </c>
      <c r="D40" s="84" t="s">
        <v>30</v>
      </c>
      <c r="E40" s="90">
        <v>14</v>
      </c>
      <c r="F40" s="93" t="s">
        <v>3</v>
      </c>
      <c r="G40" s="85">
        <f>E40*(5980-3610)</f>
        <v>33180</v>
      </c>
      <c r="H40" s="91"/>
      <c r="I40" s="84"/>
      <c r="J40" s="92">
        <v>3000037845</v>
      </c>
      <c r="K40" s="89">
        <v>42739</v>
      </c>
      <c r="L40" s="4">
        <v>3000029602</v>
      </c>
      <c r="M40" s="1">
        <v>42465</v>
      </c>
      <c r="N40" s="83" t="s">
        <v>449</v>
      </c>
      <c r="O40" s="82"/>
    </row>
    <row r="41" spans="1:15" x14ac:dyDescent="0.2">
      <c r="A41" s="82">
        <v>79</v>
      </c>
      <c r="B41" s="84" t="s">
        <v>450</v>
      </c>
      <c r="C41" s="84">
        <v>1324651</v>
      </c>
      <c r="D41" s="84" t="s">
        <v>29</v>
      </c>
      <c r="E41" s="90">
        <v>1</v>
      </c>
      <c r="F41" s="93" t="s">
        <v>3</v>
      </c>
      <c r="G41" s="85">
        <f>E41*(15212-15000)</f>
        <v>212</v>
      </c>
      <c r="H41" s="91"/>
      <c r="I41" s="84"/>
      <c r="J41" s="92">
        <v>3000037916</v>
      </c>
      <c r="K41" s="89">
        <v>42741</v>
      </c>
      <c r="L41" s="4">
        <v>3000032008</v>
      </c>
      <c r="M41" s="1">
        <v>42548</v>
      </c>
      <c r="N41" s="83" t="s">
        <v>451</v>
      </c>
      <c r="O41" s="82"/>
    </row>
    <row r="42" spans="1:15" x14ac:dyDescent="0.2">
      <c r="A42" s="82">
        <v>80</v>
      </c>
      <c r="B42" s="84" t="s">
        <v>452</v>
      </c>
      <c r="C42" s="84">
        <v>1320965</v>
      </c>
      <c r="D42" s="84" t="s">
        <v>28</v>
      </c>
      <c r="E42" s="90">
        <v>2</v>
      </c>
      <c r="F42" s="93" t="s">
        <v>3</v>
      </c>
      <c r="G42" s="85">
        <f>E42*(5628.75-5600)</f>
        <v>57.5</v>
      </c>
      <c r="H42" s="91"/>
      <c r="I42" s="84"/>
      <c r="J42" s="92">
        <v>3000037990</v>
      </c>
      <c r="K42" s="89">
        <v>42746</v>
      </c>
      <c r="L42" s="4">
        <v>3000027653</v>
      </c>
      <c r="M42" s="1">
        <v>42397</v>
      </c>
      <c r="N42" s="83" t="s">
        <v>430</v>
      </c>
      <c r="O42" s="82"/>
    </row>
    <row r="43" spans="1:15" x14ac:dyDescent="0.2">
      <c r="A43" s="82">
        <v>83</v>
      </c>
      <c r="B43" s="84" t="s">
        <v>453</v>
      </c>
      <c r="C43" s="84">
        <v>1321645</v>
      </c>
      <c r="D43" s="84" t="s">
        <v>27</v>
      </c>
      <c r="E43" s="90">
        <v>50</v>
      </c>
      <c r="F43" s="93" t="s">
        <v>3</v>
      </c>
      <c r="G43" s="85">
        <f>E43*(750-436)</f>
        <v>15700</v>
      </c>
      <c r="H43" s="91"/>
      <c r="I43" s="84"/>
      <c r="J43" s="92">
        <v>3000038205</v>
      </c>
      <c r="K43" s="89">
        <v>42752</v>
      </c>
      <c r="L43" s="4">
        <v>3000027704</v>
      </c>
      <c r="M43" s="1">
        <v>42398</v>
      </c>
      <c r="N43" s="83" t="s">
        <v>454</v>
      </c>
      <c r="O43" s="82"/>
    </row>
    <row r="44" spans="1:15" x14ac:dyDescent="0.2">
      <c r="A44" s="82">
        <v>88</v>
      </c>
      <c r="B44" s="84" t="s">
        <v>455</v>
      </c>
      <c r="C44" s="84">
        <v>1302306</v>
      </c>
      <c r="D44" s="84" t="s">
        <v>24</v>
      </c>
      <c r="E44" s="90">
        <v>30</v>
      </c>
      <c r="F44" s="93" t="s">
        <v>3</v>
      </c>
      <c r="G44" s="85">
        <f>E44*(900-750)</f>
        <v>4500</v>
      </c>
      <c r="H44" s="91"/>
      <c r="I44" s="84"/>
      <c r="J44" s="92">
        <v>3000038617</v>
      </c>
      <c r="K44" s="89">
        <v>42765</v>
      </c>
      <c r="L44" s="4">
        <v>3000033311</v>
      </c>
      <c r="M44" s="1">
        <v>42587</v>
      </c>
      <c r="N44" s="83" t="s">
        <v>456</v>
      </c>
      <c r="O44" s="82"/>
    </row>
    <row r="45" spans="1:15" x14ac:dyDescent="0.2">
      <c r="A45" s="82">
        <v>91</v>
      </c>
      <c r="B45" s="84" t="s">
        <v>457</v>
      </c>
      <c r="C45" s="84" t="s">
        <v>0</v>
      </c>
      <c r="D45" s="83" t="s">
        <v>458</v>
      </c>
      <c r="E45" s="90">
        <v>1</v>
      </c>
      <c r="F45" s="93" t="s">
        <v>5</v>
      </c>
      <c r="G45" s="85">
        <f>1000000*10%</f>
        <v>100000</v>
      </c>
      <c r="H45" s="91"/>
      <c r="I45" s="84"/>
      <c r="J45" s="92">
        <v>3200033450</v>
      </c>
      <c r="K45" s="89">
        <v>42775</v>
      </c>
      <c r="L45" s="84"/>
      <c r="M45" s="84"/>
      <c r="N45" s="83" t="s">
        <v>459</v>
      </c>
      <c r="O45" s="82"/>
    </row>
    <row r="46" spans="1:15" x14ac:dyDescent="0.2">
      <c r="A46" s="82">
        <v>94</v>
      </c>
      <c r="B46" s="84" t="s">
        <v>428</v>
      </c>
      <c r="C46" s="84">
        <v>2000809</v>
      </c>
      <c r="D46" s="84" t="s">
        <v>17</v>
      </c>
      <c r="E46" s="90">
        <v>2</v>
      </c>
      <c r="F46" s="93" t="s">
        <v>3</v>
      </c>
      <c r="G46" s="85">
        <f>E46*(4476-4056)</f>
        <v>840</v>
      </c>
      <c r="H46" s="91"/>
      <c r="I46" s="84"/>
      <c r="J46" s="92">
        <v>3000039122</v>
      </c>
      <c r="K46" s="89">
        <v>42781</v>
      </c>
      <c r="L46" s="4">
        <v>3000026772</v>
      </c>
      <c r="M46" s="1">
        <v>42360</v>
      </c>
      <c r="N46" s="83"/>
      <c r="O46" s="82"/>
    </row>
    <row r="47" spans="1:15" x14ac:dyDescent="0.2">
      <c r="A47" s="82">
        <v>99</v>
      </c>
      <c r="B47" s="84" t="s">
        <v>460</v>
      </c>
      <c r="C47" s="84">
        <v>1302892</v>
      </c>
      <c r="D47" s="83" t="s">
        <v>461</v>
      </c>
      <c r="E47" s="90">
        <v>1</v>
      </c>
      <c r="F47" s="93" t="s">
        <v>12</v>
      </c>
      <c r="G47" s="85">
        <f>338715*2.5%</f>
        <v>8467.875</v>
      </c>
      <c r="H47" s="91"/>
      <c r="I47" s="84"/>
      <c r="J47" s="92">
        <v>3000039506</v>
      </c>
      <c r="K47" s="89">
        <v>42794</v>
      </c>
      <c r="L47" s="4">
        <v>3000020229</v>
      </c>
      <c r="M47" s="1">
        <v>42137</v>
      </c>
      <c r="N47" s="83" t="s">
        <v>462</v>
      </c>
      <c r="O47" s="82"/>
    </row>
    <row r="48" spans="1:15" x14ac:dyDescent="0.2">
      <c r="A48" s="82">
        <v>103</v>
      </c>
      <c r="B48" s="84" t="s">
        <v>463</v>
      </c>
      <c r="C48" s="84" t="s">
        <v>0</v>
      </c>
      <c r="D48" s="84" t="s">
        <v>6</v>
      </c>
      <c r="E48" s="90">
        <v>1</v>
      </c>
      <c r="F48" s="93" t="s">
        <v>5</v>
      </c>
      <c r="G48" s="85">
        <v>5000</v>
      </c>
      <c r="H48" s="91"/>
      <c r="I48" s="84"/>
      <c r="J48" s="92">
        <v>3200034121</v>
      </c>
      <c r="K48" s="89">
        <v>42800</v>
      </c>
      <c r="L48" s="84"/>
      <c r="M48" s="84"/>
      <c r="N48" s="83"/>
      <c r="O48" s="82"/>
    </row>
    <row r="49" spans="1:15" x14ac:dyDescent="0.2">
      <c r="A49" s="82">
        <v>104</v>
      </c>
      <c r="B49" s="84" t="s">
        <v>464</v>
      </c>
      <c r="C49" s="84">
        <v>1325617</v>
      </c>
      <c r="D49" s="84" t="s">
        <v>13</v>
      </c>
      <c r="E49" s="90">
        <v>1</v>
      </c>
      <c r="F49" s="93" t="s">
        <v>3</v>
      </c>
      <c r="G49" s="85">
        <f>25159.5*2%</f>
        <v>503.19</v>
      </c>
      <c r="H49" s="91"/>
      <c r="I49" s="84"/>
      <c r="J49" s="92">
        <v>3000040059</v>
      </c>
      <c r="K49" s="89">
        <v>42810</v>
      </c>
      <c r="L49" s="84"/>
      <c r="M49" s="84"/>
      <c r="N49" s="83" t="s">
        <v>465</v>
      </c>
      <c r="O49" s="82"/>
    </row>
    <row r="50" spans="1:15" x14ac:dyDescent="0.2">
      <c r="A50" s="5">
        <v>106</v>
      </c>
      <c r="B50" s="84" t="s">
        <v>466</v>
      </c>
      <c r="C50" s="5"/>
      <c r="D50" s="84" t="s">
        <v>467</v>
      </c>
      <c r="E50" s="5">
        <v>1</v>
      </c>
      <c r="F50" s="95" t="s">
        <v>5</v>
      </c>
      <c r="G50" s="96">
        <f>(106250-93750)*4</f>
        <v>50000</v>
      </c>
      <c r="H50" s="5"/>
      <c r="I50" s="5"/>
      <c r="J50" s="5">
        <v>3200035093</v>
      </c>
      <c r="K50" s="95" t="s">
        <v>468</v>
      </c>
      <c r="L50" s="84">
        <v>3200026301</v>
      </c>
      <c r="M50" s="83" t="s">
        <v>469</v>
      </c>
      <c r="N50" s="95" t="s">
        <v>470</v>
      </c>
      <c r="O50" s="5"/>
    </row>
    <row r="51" spans="1:15" x14ac:dyDescent="0.2">
      <c r="A51" s="97">
        <v>107</v>
      </c>
      <c r="B51" t="s">
        <v>471</v>
      </c>
      <c r="C51" s="97"/>
      <c r="D51" s="83" t="s">
        <v>472</v>
      </c>
      <c r="E51" s="5">
        <v>1</v>
      </c>
      <c r="F51" s="95" t="s">
        <v>5</v>
      </c>
      <c r="G51" s="96">
        <f>475000-465000</f>
        <v>10000</v>
      </c>
      <c r="H51" s="5"/>
      <c r="I51" s="5"/>
      <c r="J51" s="98">
        <v>3200033293</v>
      </c>
      <c r="K51" s="99">
        <v>42769</v>
      </c>
      <c r="L51" s="84">
        <v>3200024837</v>
      </c>
      <c r="M51" s="83" t="s">
        <v>473</v>
      </c>
      <c r="N51" s="95" t="s">
        <v>474</v>
      </c>
      <c r="O51" s="5"/>
    </row>
    <row r="52" spans="1:15" x14ac:dyDescent="0.2">
      <c r="A52" s="97"/>
      <c r="B52" s="100"/>
      <c r="C52" s="97"/>
      <c r="D52" s="100"/>
      <c r="E52" s="97"/>
      <c r="F52" s="101" t="s">
        <v>77</v>
      </c>
      <c r="G52" s="102">
        <f>SUM(G2:G51)</f>
        <v>715163.61499999999</v>
      </c>
      <c r="H52" s="97"/>
      <c r="I52" s="97"/>
      <c r="J52" s="97"/>
      <c r="K52" s="103"/>
      <c r="L52" s="100"/>
      <c r="M52" s="104"/>
      <c r="N52" s="103"/>
      <c r="O52" s="97"/>
    </row>
    <row r="53" spans="1:15" x14ac:dyDescent="0.2">
      <c r="B53" s="23" t="s">
        <v>475</v>
      </c>
      <c r="D53" s="23" t="s">
        <v>475</v>
      </c>
    </row>
    <row r="54" spans="1:15" ht="15" x14ac:dyDescent="0.2">
      <c r="B54" s="95" t="s">
        <v>476</v>
      </c>
      <c r="C54" s="105">
        <f>SUM(G2:G51)</f>
        <v>715163.61499999999</v>
      </c>
      <c r="D54" s="106" t="s">
        <v>477</v>
      </c>
      <c r="E54" s="105">
        <f>G52</f>
        <v>715163.61499999999</v>
      </c>
    </row>
    <row r="55" spans="1:15" ht="15" x14ac:dyDescent="0.2">
      <c r="B55" s="5" t="s">
        <v>478</v>
      </c>
      <c r="C55" s="105">
        <v>3730074</v>
      </c>
      <c r="D55" s="5" t="s">
        <v>478</v>
      </c>
      <c r="E55" s="105">
        <f>'CIP-Coal'!S13</f>
        <v>4113655.3591300673</v>
      </c>
    </row>
    <row r="56" spans="1:15" ht="15" x14ac:dyDescent="0.2">
      <c r="B56" s="5" t="s">
        <v>77</v>
      </c>
      <c r="C56" s="105" t="e">
        <f>C55+C54+#REF!</f>
        <v>#REF!</v>
      </c>
      <c r="D56" s="5" t="s">
        <v>77</v>
      </c>
      <c r="E56" s="105">
        <f>E55+E54</f>
        <v>4828818.974130067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X115"/>
  <sheetViews>
    <sheetView topLeftCell="A10" workbookViewId="0">
      <selection activeCell="F34" sqref="F34"/>
    </sheetView>
  </sheetViews>
  <sheetFormatPr defaultRowHeight="12.75" x14ac:dyDescent="0.2"/>
  <cols>
    <col min="1" max="1" width="9.140625" style="25"/>
    <col min="2" max="2" width="8.28515625" style="25" customWidth="1"/>
    <col min="3" max="3" width="6.7109375" style="25" customWidth="1"/>
    <col min="4" max="4" width="10.28515625" style="25" customWidth="1"/>
    <col min="5" max="5" width="9.140625" style="25"/>
    <col min="6" max="6" width="10" style="25" bestFit="1" customWidth="1"/>
    <col min="7" max="7" width="9.28515625" style="25" bestFit="1" customWidth="1"/>
    <col min="8" max="8" width="7.85546875" style="25" customWidth="1"/>
    <col min="9" max="9" width="7.7109375" style="25" customWidth="1"/>
    <col min="10" max="10" width="6.7109375" style="25" customWidth="1"/>
    <col min="11" max="11" width="9.85546875" style="25" customWidth="1"/>
    <col min="12" max="12" width="9.140625" style="25"/>
    <col min="13" max="14" width="9.85546875" style="25" customWidth="1"/>
    <col min="15" max="16" width="9.140625" style="25"/>
    <col min="17" max="17" width="7.28515625" style="25" customWidth="1"/>
    <col min="18" max="18" width="6.140625" style="25" customWidth="1"/>
    <col min="19" max="19" width="14" style="25" customWidth="1"/>
    <col min="20" max="20" width="14.42578125" style="25" customWidth="1"/>
    <col min="21" max="21" width="15.5703125" style="25" customWidth="1"/>
    <col min="22" max="255" width="9.140625" style="25"/>
    <col min="256" max="256" width="11.28515625" style="25" bestFit="1" customWidth="1"/>
    <col min="257" max="257" width="10.28515625" style="25" bestFit="1" customWidth="1"/>
    <col min="258" max="258" width="1.140625" style="25" customWidth="1"/>
    <col min="259" max="259" width="9.140625" style="25"/>
    <col min="260" max="261" width="10.28515625" style="25" customWidth="1"/>
    <col min="262" max="262" width="9.140625" style="25"/>
    <col min="263" max="263" width="8.42578125" style="25" customWidth="1"/>
    <col min="264" max="264" width="9.28515625" style="25" bestFit="1" customWidth="1"/>
    <col min="265" max="265" width="7.85546875" style="25" customWidth="1"/>
    <col min="266" max="268" width="9.85546875" style="25" customWidth="1"/>
    <col min="269" max="269" width="9.140625" style="25"/>
    <col min="270" max="271" width="9.85546875" style="25" customWidth="1"/>
    <col min="272" max="275" width="9.140625" style="25"/>
    <col min="276" max="276" width="15.85546875" style="25" bestFit="1" customWidth="1"/>
    <col min="277" max="277" width="15.5703125" style="25" customWidth="1"/>
    <col min="278" max="511" width="9.140625" style="25"/>
    <col min="512" max="512" width="11.28515625" style="25" bestFit="1" customWidth="1"/>
    <col min="513" max="513" width="10.28515625" style="25" bestFit="1" customWidth="1"/>
    <col min="514" max="514" width="1.140625" style="25" customWidth="1"/>
    <col min="515" max="515" width="9.140625" style="25"/>
    <col min="516" max="517" width="10.28515625" style="25" customWidth="1"/>
    <col min="518" max="518" width="9.140625" style="25"/>
    <col min="519" max="519" width="8.42578125" style="25" customWidth="1"/>
    <col min="520" max="520" width="9.28515625" style="25" bestFit="1" customWidth="1"/>
    <col min="521" max="521" width="7.85546875" style="25" customWidth="1"/>
    <col min="522" max="524" width="9.85546875" style="25" customWidth="1"/>
    <col min="525" max="525" width="9.140625" style="25"/>
    <col min="526" max="527" width="9.85546875" style="25" customWidth="1"/>
    <col min="528" max="531" width="9.140625" style="25"/>
    <col min="532" max="532" width="15.85546875" style="25" bestFit="1" customWidth="1"/>
    <col min="533" max="533" width="15.5703125" style="25" customWidth="1"/>
    <col min="534" max="767" width="9.140625" style="25"/>
    <col min="768" max="768" width="11.28515625" style="25" bestFit="1" customWidth="1"/>
    <col min="769" max="769" width="10.28515625" style="25" bestFit="1" customWidth="1"/>
    <col min="770" max="770" width="1.140625" style="25" customWidth="1"/>
    <col min="771" max="771" width="9.140625" style="25"/>
    <col min="772" max="773" width="10.28515625" style="25" customWidth="1"/>
    <col min="774" max="774" width="9.140625" style="25"/>
    <col min="775" max="775" width="8.42578125" style="25" customWidth="1"/>
    <col min="776" max="776" width="9.28515625" style="25" bestFit="1" customWidth="1"/>
    <col min="777" max="777" width="7.85546875" style="25" customWidth="1"/>
    <col min="778" max="780" width="9.85546875" style="25" customWidth="1"/>
    <col min="781" max="781" width="9.140625" style="25"/>
    <col min="782" max="783" width="9.85546875" style="25" customWidth="1"/>
    <col min="784" max="787" width="9.140625" style="25"/>
    <col min="788" max="788" width="15.85546875" style="25" bestFit="1" customWidth="1"/>
    <col min="789" max="789" width="15.5703125" style="25" customWidth="1"/>
    <col min="790" max="1023" width="9.140625" style="25"/>
    <col min="1024" max="1024" width="11.28515625" style="25" bestFit="1" customWidth="1"/>
    <col min="1025" max="1025" width="10.28515625" style="25" bestFit="1" customWidth="1"/>
    <col min="1026" max="1026" width="1.140625" style="25" customWidth="1"/>
    <col min="1027" max="1027" width="9.140625" style="25"/>
    <col min="1028" max="1029" width="10.28515625" style="25" customWidth="1"/>
    <col min="1030" max="1030" width="9.140625" style="25"/>
    <col min="1031" max="1031" width="8.42578125" style="25" customWidth="1"/>
    <col min="1032" max="1032" width="9.28515625" style="25" bestFit="1" customWidth="1"/>
    <col min="1033" max="1033" width="7.85546875" style="25" customWidth="1"/>
    <col min="1034" max="1036" width="9.85546875" style="25" customWidth="1"/>
    <col min="1037" max="1037" width="9.140625" style="25"/>
    <col min="1038" max="1039" width="9.85546875" style="25" customWidth="1"/>
    <col min="1040" max="1043" width="9.140625" style="25"/>
    <col min="1044" max="1044" width="15.85546875" style="25" bestFit="1" customWidth="1"/>
    <col min="1045" max="1045" width="15.5703125" style="25" customWidth="1"/>
    <col min="1046" max="1279" width="9.140625" style="25"/>
    <col min="1280" max="1280" width="11.28515625" style="25" bestFit="1" customWidth="1"/>
    <col min="1281" max="1281" width="10.28515625" style="25" bestFit="1" customWidth="1"/>
    <col min="1282" max="1282" width="1.140625" style="25" customWidth="1"/>
    <col min="1283" max="1283" width="9.140625" style="25"/>
    <col min="1284" max="1285" width="10.28515625" style="25" customWidth="1"/>
    <col min="1286" max="1286" width="9.140625" style="25"/>
    <col min="1287" max="1287" width="8.42578125" style="25" customWidth="1"/>
    <col min="1288" max="1288" width="9.28515625" style="25" bestFit="1" customWidth="1"/>
    <col min="1289" max="1289" width="7.85546875" style="25" customWidth="1"/>
    <col min="1290" max="1292" width="9.85546875" style="25" customWidth="1"/>
    <col min="1293" max="1293" width="9.140625" style="25"/>
    <col min="1294" max="1295" width="9.85546875" style="25" customWidth="1"/>
    <col min="1296" max="1299" width="9.140625" style="25"/>
    <col min="1300" max="1300" width="15.85546875" style="25" bestFit="1" customWidth="1"/>
    <col min="1301" max="1301" width="15.5703125" style="25" customWidth="1"/>
    <col min="1302" max="1535" width="9.140625" style="25"/>
    <col min="1536" max="1536" width="11.28515625" style="25" bestFit="1" customWidth="1"/>
    <col min="1537" max="1537" width="10.28515625" style="25" bestFit="1" customWidth="1"/>
    <col min="1538" max="1538" width="1.140625" style="25" customWidth="1"/>
    <col min="1539" max="1539" width="9.140625" style="25"/>
    <col min="1540" max="1541" width="10.28515625" style="25" customWidth="1"/>
    <col min="1542" max="1542" width="9.140625" style="25"/>
    <col min="1543" max="1543" width="8.42578125" style="25" customWidth="1"/>
    <col min="1544" max="1544" width="9.28515625" style="25" bestFit="1" customWidth="1"/>
    <col min="1545" max="1545" width="7.85546875" style="25" customWidth="1"/>
    <col min="1546" max="1548" width="9.85546875" style="25" customWidth="1"/>
    <col min="1549" max="1549" width="9.140625" style="25"/>
    <col min="1550" max="1551" width="9.85546875" style="25" customWidth="1"/>
    <col min="1552" max="1555" width="9.140625" style="25"/>
    <col min="1556" max="1556" width="15.85546875" style="25" bestFit="1" customWidth="1"/>
    <col min="1557" max="1557" width="15.5703125" style="25" customWidth="1"/>
    <col min="1558" max="1791" width="9.140625" style="25"/>
    <col min="1792" max="1792" width="11.28515625" style="25" bestFit="1" customWidth="1"/>
    <col min="1793" max="1793" width="10.28515625" style="25" bestFit="1" customWidth="1"/>
    <col min="1794" max="1794" width="1.140625" style="25" customWidth="1"/>
    <col min="1795" max="1795" width="9.140625" style="25"/>
    <col min="1796" max="1797" width="10.28515625" style="25" customWidth="1"/>
    <col min="1798" max="1798" width="9.140625" style="25"/>
    <col min="1799" max="1799" width="8.42578125" style="25" customWidth="1"/>
    <col min="1800" max="1800" width="9.28515625" style="25" bestFit="1" customWidth="1"/>
    <col min="1801" max="1801" width="7.85546875" style="25" customWidth="1"/>
    <col min="1802" max="1804" width="9.85546875" style="25" customWidth="1"/>
    <col min="1805" max="1805" width="9.140625" style="25"/>
    <col min="1806" max="1807" width="9.85546875" style="25" customWidth="1"/>
    <col min="1808" max="1811" width="9.140625" style="25"/>
    <col min="1812" max="1812" width="15.85546875" style="25" bestFit="1" customWidth="1"/>
    <col min="1813" max="1813" width="15.5703125" style="25" customWidth="1"/>
    <col min="1814" max="2047" width="9.140625" style="25"/>
    <col min="2048" max="2048" width="11.28515625" style="25" bestFit="1" customWidth="1"/>
    <col min="2049" max="2049" width="10.28515625" style="25" bestFit="1" customWidth="1"/>
    <col min="2050" max="2050" width="1.140625" style="25" customWidth="1"/>
    <col min="2051" max="2051" width="9.140625" style="25"/>
    <col min="2052" max="2053" width="10.28515625" style="25" customWidth="1"/>
    <col min="2054" max="2054" width="9.140625" style="25"/>
    <col min="2055" max="2055" width="8.42578125" style="25" customWidth="1"/>
    <col min="2056" max="2056" width="9.28515625" style="25" bestFit="1" customWidth="1"/>
    <col min="2057" max="2057" width="7.85546875" style="25" customWidth="1"/>
    <col min="2058" max="2060" width="9.85546875" style="25" customWidth="1"/>
    <col min="2061" max="2061" width="9.140625" style="25"/>
    <col min="2062" max="2063" width="9.85546875" style="25" customWidth="1"/>
    <col min="2064" max="2067" width="9.140625" style="25"/>
    <col min="2068" max="2068" width="15.85546875" style="25" bestFit="1" customWidth="1"/>
    <col min="2069" max="2069" width="15.5703125" style="25" customWidth="1"/>
    <col min="2070" max="2303" width="9.140625" style="25"/>
    <col min="2304" max="2304" width="11.28515625" style="25" bestFit="1" customWidth="1"/>
    <col min="2305" max="2305" width="10.28515625" style="25" bestFit="1" customWidth="1"/>
    <col min="2306" max="2306" width="1.140625" style="25" customWidth="1"/>
    <col min="2307" max="2307" width="9.140625" style="25"/>
    <col min="2308" max="2309" width="10.28515625" style="25" customWidth="1"/>
    <col min="2310" max="2310" width="9.140625" style="25"/>
    <col min="2311" max="2311" width="8.42578125" style="25" customWidth="1"/>
    <col min="2312" max="2312" width="9.28515625" style="25" bestFit="1" customWidth="1"/>
    <col min="2313" max="2313" width="7.85546875" style="25" customWidth="1"/>
    <col min="2314" max="2316" width="9.85546875" style="25" customWidth="1"/>
    <col min="2317" max="2317" width="9.140625" style="25"/>
    <col min="2318" max="2319" width="9.85546875" style="25" customWidth="1"/>
    <col min="2320" max="2323" width="9.140625" style="25"/>
    <col min="2324" max="2324" width="15.85546875" style="25" bestFit="1" customWidth="1"/>
    <col min="2325" max="2325" width="15.5703125" style="25" customWidth="1"/>
    <col min="2326" max="2559" width="9.140625" style="25"/>
    <col min="2560" max="2560" width="11.28515625" style="25" bestFit="1" customWidth="1"/>
    <col min="2561" max="2561" width="10.28515625" style="25" bestFit="1" customWidth="1"/>
    <col min="2562" max="2562" width="1.140625" style="25" customWidth="1"/>
    <col min="2563" max="2563" width="9.140625" style="25"/>
    <col min="2564" max="2565" width="10.28515625" style="25" customWidth="1"/>
    <col min="2566" max="2566" width="9.140625" style="25"/>
    <col min="2567" max="2567" width="8.42578125" style="25" customWidth="1"/>
    <col min="2568" max="2568" width="9.28515625" style="25" bestFit="1" customWidth="1"/>
    <col min="2569" max="2569" width="7.85546875" style="25" customWidth="1"/>
    <col min="2570" max="2572" width="9.85546875" style="25" customWidth="1"/>
    <col min="2573" max="2573" width="9.140625" style="25"/>
    <col min="2574" max="2575" width="9.85546875" style="25" customWidth="1"/>
    <col min="2576" max="2579" width="9.140625" style="25"/>
    <col min="2580" max="2580" width="15.85546875" style="25" bestFit="1" customWidth="1"/>
    <col min="2581" max="2581" width="15.5703125" style="25" customWidth="1"/>
    <col min="2582" max="2815" width="9.140625" style="25"/>
    <col min="2816" max="2816" width="11.28515625" style="25" bestFit="1" customWidth="1"/>
    <col min="2817" max="2817" width="10.28515625" style="25" bestFit="1" customWidth="1"/>
    <col min="2818" max="2818" width="1.140625" style="25" customWidth="1"/>
    <col min="2819" max="2819" width="9.140625" style="25"/>
    <col min="2820" max="2821" width="10.28515625" style="25" customWidth="1"/>
    <col min="2822" max="2822" width="9.140625" style="25"/>
    <col min="2823" max="2823" width="8.42578125" style="25" customWidth="1"/>
    <col min="2824" max="2824" width="9.28515625" style="25" bestFit="1" customWidth="1"/>
    <col min="2825" max="2825" width="7.85546875" style="25" customWidth="1"/>
    <col min="2826" max="2828" width="9.85546875" style="25" customWidth="1"/>
    <col min="2829" max="2829" width="9.140625" style="25"/>
    <col min="2830" max="2831" width="9.85546875" style="25" customWidth="1"/>
    <col min="2832" max="2835" width="9.140625" style="25"/>
    <col min="2836" max="2836" width="15.85546875" style="25" bestFit="1" customWidth="1"/>
    <col min="2837" max="2837" width="15.5703125" style="25" customWidth="1"/>
    <col min="2838" max="3071" width="9.140625" style="25"/>
    <col min="3072" max="3072" width="11.28515625" style="25" bestFit="1" customWidth="1"/>
    <col min="3073" max="3073" width="10.28515625" style="25" bestFit="1" customWidth="1"/>
    <col min="3074" max="3074" width="1.140625" style="25" customWidth="1"/>
    <col min="3075" max="3075" width="9.140625" style="25"/>
    <col min="3076" max="3077" width="10.28515625" style="25" customWidth="1"/>
    <col min="3078" max="3078" width="9.140625" style="25"/>
    <col min="3079" max="3079" width="8.42578125" style="25" customWidth="1"/>
    <col min="3080" max="3080" width="9.28515625" style="25" bestFit="1" customWidth="1"/>
    <col min="3081" max="3081" width="7.85546875" style="25" customWidth="1"/>
    <col min="3082" max="3084" width="9.85546875" style="25" customWidth="1"/>
    <col min="3085" max="3085" width="9.140625" style="25"/>
    <col min="3086" max="3087" width="9.85546875" style="25" customWidth="1"/>
    <col min="3088" max="3091" width="9.140625" style="25"/>
    <col min="3092" max="3092" width="15.85546875" style="25" bestFit="1" customWidth="1"/>
    <col min="3093" max="3093" width="15.5703125" style="25" customWidth="1"/>
    <col min="3094" max="3327" width="9.140625" style="25"/>
    <col min="3328" max="3328" width="11.28515625" style="25" bestFit="1" customWidth="1"/>
    <col min="3329" max="3329" width="10.28515625" style="25" bestFit="1" customWidth="1"/>
    <col min="3330" max="3330" width="1.140625" style="25" customWidth="1"/>
    <col min="3331" max="3331" width="9.140625" style="25"/>
    <col min="3332" max="3333" width="10.28515625" style="25" customWidth="1"/>
    <col min="3334" max="3334" width="9.140625" style="25"/>
    <col min="3335" max="3335" width="8.42578125" style="25" customWidth="1"/>
    <col min="3336" max="3336" width="9.28515625" style="25" bestFit="1" customWidth="1"/>
    <col min="3337" max="3337" width="7.85546875" style="25" customWidth="1"/>
    <col min="3338" max="3340" width="9.85546875" style="25" customWidth="1"/>
    <col min="3341" max="3341" width="9.140625" style="25"/>
    <col min="3342" max="3343" width="9.85546875" style="25" customWidth="1"/>
    <col min="3344" max="3347" width="9.140625" style="25"/>
    <col min="3348" max="3348" width="15.85546875" style="25" bestFit="1" customWidth="1"/>
    <col min="3349" max="3349" width="15.5703125" style="25" customWidth="1"/>
    <col min="3350" max="3583" width="9.140625" style="25"/>
    <col min="3584" max="3584" width="11.28515625" style="25" bestFit="1" customWidth="1"/>
    <col min="3585" max="3585" width="10.28515625" style="25" bestFit="1" customWidth="1"/>
    <col min="3586" max="3586" width="1.140625" style="25" customWidth="1"/>
    <col min="3587" max="3587" width="9.140625" style="25"/>
    <col min="3588" max="3589" width="10.28515625" style="25" customWidth="1"/>
    <col min="3590" max="3590" width="9.140625" style="25"/>
    <col min="3591" max="3591" width="8.42578125" style="25" customWidth="1"/>
    <col min="3592" max="3592" width="9.28515625" style="25" bestFit="1" customWidth="1"/>
    <col min="3593" max="3593" width="7.85546875" style="25" customWidth="1"/>
    <col min="3594" max="3596" width="9.85546875" style="25" customWidth="1"/>
    <col min="3597" max="3597" width="9.140625" style="25"/>
    <col min="3598" max="3599" width="9.85546875" style="25" customWidth="1"/>
    <col min="3600" max="3603" width="9.140625" style="25"/>
    <col min="3604" max="3604" width="15.85546875" style="25" bestFit="1" customWidth="1"/>
    <col min="3605" max="3605" width="15.5703125" style="25" customWidth="1"/>
    <col min="3606" max="3839" width="9.140625" style="25"/>
    <col min="3840" max="3840" width="11.28515625" style="25" bestFit="1" customWidth="1"/>
    <col min="3841" max="3841" width="10.28515625" style="25" bestFit="1" customWidth="1"/>
    <col min="3842" max="3842" width="1.140625" style="25" customWidth="1"/>
    <col min="3843" max="3843" width="9.140625" style="25"/>
    <col min="3844" max="3845" width="10.28515625" style="25" customWidth="1"/>
    <col min="3846" max="3846" width="9.140625" style="25"/>
    <col min="3847" max="3847" width="8.42578125" style="25" customWidth="1"/>
    <col min="3848" max="3848" width="9.28515625" style="25" bestFit="1" customWidth="1"/>
    <col min="3849" max="3849" width="7.85546875" style="25" customWidth="1"/>
    <col min="3850" max="3852" width="9.85546875" style="25" customWidth="1"/>
    <col min="3853" max="3853" width="9.140625" style="25"/>
    <col min="3854" max="3855" width="9.85546875" style="25" customWidth="1"/>
    <col min="3856" max="3859" width="9.140625" style="25"/>
    <col min="3860" max="3860" width="15.85546875" style="25" bestFit="1" customWidth="1"/>
    <col min="3861" max="3861" width="15.5703125" style="25" customWidth="1"/>
    <col min="3862" max="4095" width="9.140625" style="25"/>
    <col min="4096" max="4096" width="11.28515625" style="25" bestFit="1" customWidth="1"/>
    <col min="4097" max="4097" width="10.28515625" style="25" bestFit="1" customWidth="1"/>
    <col min="4098" max="4098" width="1.140625" style="25" customWidth="1"/>
    <col min="4099" max="4099" width="9.140625" style="25"/>
    <col min="4100" max="4101" width="10.28515625" style="25" customWidth="1"/>
    <col min="4102" max="4102" width="9.140625" style="25"/>
    <col min="4103" max="4103" width="8.42578125" style="25" customWidth="1"/>
    <col min="4104" max="4104" width="9.28515625" style="25" bestFit="1" customWidth="1"/>
    <col min="4105" max="4105" width="7.85546875" style="25" customWidth="1"/>
    <col min="4106" max="4108" width="9.85546875" style="25" customWidth="1"/>
    <col min="4109" max="4109" width="9.140625" style="25"/>
    <col min="4110" max="4111" width="9.85546875" style="25" customWidth="1"/>
    <col min="4112" max="4115" width="9.140625" style="25"/>
    <col min="4116" max="4116" width="15.85546875" style="25" bestFit="1" customWidth="1"/>
    <col min="4117" max="4117" width="15.5703125" style="25" customWidth="1"/>
    <col min="4118" max="4351" width="9.140625" style="25"/>
    <col min="4352" max="4352" width="11.28515625" style="25" bestFit="1" customWidth="1"/>
    <col min="4353" max="4353" width="10.28515625" style="25" bestFit="1" customWidth="1"/>
    <col min="4354" max="4354" width="1.140625" style="25" customWidth="1"/>
    <col min="4355" max="4355" width="9.140625" style="25"/>
    <col min="4356" max="4357" width="10.28515625" style="25" customWidth="1"/>
    <col min="4358" max="4358" width="9.140625" style="25"/>
    <col min="4359" max="4359" width="8.42578125" style="25" customWidth="1"/>
    <col min="4360" max="4360" width="9.28515625" style="25" bestFit="1" customWidth="1"/>
    <col min="4361" max="4361" width="7.85546875" style="25" customWidth="1"/>
    <col min="4362" max="4364" width="9.85546875" style="25" customWidth="1"/>
    <col min="4365" max="4365" width="9.140625" style="25"/>
    <col min="4366" max="4367" width="9.85546875" style="25" customWidth="1"/>
    <col min="4368" max="4371" width="9.140625" style="25"/>
    <col min="4372" max="4372" width="15.85546875" style="25" bestFit="1" customWidth="1"/>
    <col min="4373" max="4373" width="15.5703125" style="25" customWidth="1"/>
    <col min="4374" max="4607" width="9.140625" style="25"/>
    <col min="4608" max="4608" width="11.28515625" style="25" bestFit="1" customWidth="1"/>
    <col min="4609" max="4609" width="10.28515625" style="25" bestFit="1" customWidth="1"/>
    <col min="4610" max="4610" width="1.140625" style="25" customWidth="1"/>
    <col min="4611" max="4611" width="9.140625" style="25"/>
    <col min="4612" max="4613" width="10.28515625" style="25" customWidth="1"/>
    <col min="4614" max="4614" width="9.140625" style="25"/>
    <col min="4615" max="4615" width="8.42578125" style="25" customWidth="1"/>
    <col min="4616" max="4616" width="9.28515625" style="25" bestFit="1" customWidth="1"/>
    <col min="4617" max="4617" width="7.85546875" style="25" customWidth="1"/>
    <col min="4618" max="4620" width="9.85546875" style="25" customWidth="1"/>
    <col min="4621" max="4621" width="9.140625" style="25"/>
    <col min="4622" max="4623" width="9.85546875" style="25" customWidth="1"/>
    <col min="4624" max="4627" width="9.140625" style="25"/>
    <col min="4628" max="4628" width="15.85546875" style="25" bestFit="1" customWidth="1"/>
    <col min="4629" max="4629" width="15.5703125" style="25" customWidth="1"/>
    <col min="4630" max="4863" width="9.140625" style="25"/>
    <col min="4864" max="4864" width="11.28515625" style="25" bestFit="1" customWidth="1"/>
    <col min="4865" max="4865" width="10.28515625" style="25" bestFit="1" customWidth="1"/>
    <col min="4866" max="4866" width="1.140625" style="25" customWidth="1"/>
    <col min="4867" max="4867" width="9.140625" style="25"/>
    <col min="4868" max="4869" width="10.28515625" style="25" customWidth="1"/>
    <col min="4870" max="4870" width="9.140625" style="25"/>
    <col min="4871" max="4871" width="8.42578125" style="25" customWidth="1"/>
    <col min="4872" max="4872" width="9.28515625" style="25" bestFit="1" customWidth="1"/>
    <col min="4873" max="4873" width="7.85546875" style="25" customWidth="1"/>
    <col min="4874" max="4876" width="9.85546875" style="25" customWidth="1"/>
    <col min="4877" max="4877" width="9.140625" style="25"/>
    <col min="4878" max="4879" width="9.85546875" style="25" customWidth="1"/>
    <col min="4880" max="4883" width="9.140625" style="25"/>
    <col min="4884" max="4884" width="15.85546875" style="25" bestFit="1" customWidth="1"/>
    <col min="4885" max="4885" width="15.5703125" style="25" customWidth="1"/>
    <col min="4886" max="5119" width="9.140625" style="25"/>
    <col min="5120" max="5120" width="11.28515625" style="25" bestFit="1" customWidth="1"/>
    <col min="5121" max="5121" width="10.28515625" style="25" bestFit="1" customWidth="1"/>
    <col min="5122" max="5122" width="1.140625" style="25" customWidth="1"/>
    <col min="5123" max="5123" width="9.140625" style="25"/>
    <col min="5124" max="5125" width="10.28515625" style="25" customWidth="1"/>
    <col min="5126" max="5126" width="9.140625" style="25"/>
    <col min="5127" max="5127" width="8.42578125" style="25" customWidth="1"/>
    <col min="5128" max="5128" width="9.28515625" style="25" bestFit="1" customWidth="1"/>
    <col min="5129" max="5129" width="7.85546875" style="25" customWidth="1"/>
    <col min="5130" max="5132" width="9.85546875" style="25" customWidth="1"/>
    <col min="5133" max="5133" width="9.140625" style="25"/>
    <col min="5134" max="5135" width="9.85546875" style="25" customWidth="1"/>
    <col min="5136" max="5139" width="9.140625" style="25"/>
    <col min="5140" max="5140" width="15.85546875" style="25" bestFit="1" customWidth="1"/>
    <col min="5141" max="5141" width="15.5703125" style="25" customWidth="1"/>
    <col min="5142" max="5375" width="9.140625" style="25"/>
    <col min="5376" max="5376" width="11.28515625" style="25" bestFit="1" customWidth="1"/>
    <col min="5377" max="5377" width="10.28515625" style="25" bestFit="1" customWidth="1"/>
    <col min="5378" max="5378" width="1.140625" style="25" customWidth="1"/>
    <col min="5379" max="5379" width="9.140625" style="25"/>
    <col min="5380" max="5381" width="10.28515625" style="25" customWidth="1"/>
    <col min="5382" max="5382" width="9.140625" style="25"/>
    <col min="5383" max="5383" width="8.42578125" style="25" customWidth="1"/>
    <col min="5384" max="5384" width="9.28515625" style="25" bestFit="1" customWidth="1"/>
    <col min="5385" max="5385" width="7.85546875" style="25" customWidth="1"/>
    <col min="5386" max="5388" width="9.85546875" style="25" customWidth="1"/>
    <col min="5389" max="5389" width="9.140625" style="25"/>
    <col min="5390" max="5391" width="9.85546875" style="25" customWidth="1"/>
    <col min="5392" max="5395" width="9.140625" style="25"/>
    <col min="5396" max="5396" width="15.85546875" style="25" bestFit="1" customWidth="1"/>
    <col min="5397" max="5397" width="15.5703125" style="25" customWidth="1"/>
    <col min="5398" max="5631" width="9.140625" style="25"/>
    <col min="5632" max="5632" width="11.28515625" style="25" bestFit="1" customWidth="1"/>
    <col min="5633" max="5633" width="10.28515625" style="25" bestFit="1" customWidth="1"/>
    <col min="5634" max="5634" width="1.140625" style="25" customWidth="1"/>
    <col min="5635" max="5635" width="9.140625" style="25"/>
    <col min="5636" max="5637" width="10.28515625" style="25" customWidth="1"/>
    <col min="5638" max="5638" width="9.140625" style="25"/>
    <col min="5639" max="5639" width="8.42578125" style="25" customWidth="1"/>
    <col min="5640" max="5640" width="9.28515625" style="25" bestFit="1" customWidth="1"/>
    <col min="5641" max="5641" width="7.85546875" style="25" customWidth="1"/>
    <col min="5642" max="5644" width="9.85546875" style="25" customWidth="1"/>
    <col min="5645" max="5645" width="9.140625" style="25"/>
    <col min="5646" max="5647" width="9.85546875" style="25" customWidth="1"/>
    <col min="5648" max="5651" width="9.140625" style="25"/>
    <col min="5652" max="5652" width="15.85546875" style="25" bestFit="1" customWidth="1"/>
    <col min="5653" max="5653" width="15.5703125" style="25" customWidth="1"/>
    <col min="5654" max="5887" width="9.140625" style="25"/>
    <col min="5888" max="5888" width="11.28515625" style="25" bestFit="1" customWidth="1"/>
    <col min="5889" max="5889" width="10.28515625" style="25" bestFit="1" customWidth="1"/>
    <col min="5890" max="5890" width="1.140625" style="25" customWidth="1"/>
    <col min="5891" max="5891" width="9.140625" style="25"/>
    <col min="5892" max="5893" width="10.28515625" style="25" customWidth="1"/>
    <col min="5894" max="5894" width="9.140625" style="25"/>
    <col min="5895" max="5895" width="8.42578125" style="25" customWidth="1"/>
    <col min="5896" max="5896" width="9.28515625" style="25" bestFit="1" customWidth="1"/>
    <col min="5897" max="5897" width="7.85546875" style="25" customWidth="1"/>
    <col min="5898" max="5900" width="9.85546875" style="25" customWidth="1"/>
    <col min="5901" max="5901" width="9.140625" style="25"/>
    <col min="5902" max="5903" width="9.85546875" style="25" customWidth="1"/>
    <col min="5904" max="5907" width="9.140625" style="25"/>
    <col min="5908" max="5908" width="15.85546875" style="25" bestFit="1" customWidth="1"/>
    <col min="5909" max="5909" width="15.5703125" style="25" customWidth="1"/>
    <col min="5910" max="6143" width="9.140625" style="25"/>
    <col min="6144" max="6144" width="11.28515625" style="25" bestFit="1" customWidth="1"/>
    <col min="6145" max="6145" width="10.28515625" style="25" bestFit="1" customWidth="1"/>
    <col min="6146" max="6146" width="1.140625" style="25" customWidth="1"/>
    <col min="6147" max="6147" width="9.140625" style="25"/>
    <col min="6148" max="6149" width="10.28515625" style="25" customWidth="1"/>
    <col min="6150" max="6150" width="9.140625" style="25"/>
    <col min="6151" max="6151" width="8.42578125" style="25" customWidth="1"/>
    <col min="6152" max="6152" width="9.28515625" style="25" bestFit="1" customWidth="1"/>
    <col min="6153" max="6153" width="7.85546875" style="25" customWidth="1"/>
    <col min="6154" max="6156" width="9.85546875" style="25" customWidth="1"/>
    <col min="6157" max="6157" width="9.140625" style="25"/>
    <col min="6158" max="6159" width="9.85546875" style="25" customWidth="1"/>
    <col min="6160" max="6163" width="9.140625" style="25"/>
    <col min="6164" max="6164" width="15.85546875" style="25" bestFit="1" customWidth="1"/>
    <col min="6165" max="6165" width="15.5703125" style="25" customWidth="1"/>
    <col min="6166" max="6399" width="9.140625" style="25"/>
    <col min="6400" max="6400" width="11.28515625" style="25" bestFit="1" customWidth="1"/>
    <col min="6401" max="6401" width="10.28515625" style="25" bestFit="1" customWidth="1"/>
    <col min="6402" max="6402" width="1.140625" style="25" customWidth="1"/>
    <col min="6403" max="6403" width="9.140625" style="25"/>
    <col min="6404" max="6405" width="10.28515625" style="25" customWidth="1"/>
    <col min="6406" max="6406" width="9.140625" style="25"/>
    <col min="6407" max="6407" width="8.42578125" style="25" customWidth="1"/>
    <col min="6408" max="6408" width="9.28515625" style="25" bestFit="1" customWidth="1"/>
    <col min="6409" max="6409" width="7.85546875" style="25" customWidth="1"/>
    <col min="6410" max="6412" width="9.85546875" style="25" customWidth="1"/>
    <col min="6413" max="6413" width="9.140625" style="25"/>
    <col min="6414" max="6415" width="9.85546875" style="25" customWidth="1"/>
    <col min="6416" max="6419" width="9.140625" style="25"/>
    <col min="6420" max="6420" width="15.85546875" style="25" bestFit="1" customWidth="1"/>
    <col min="6421" max="6421" width="15.5703125" style="25" customWidth="1"/>
    <col min="6422" max="6655" width="9.140625" style="25"/>
    <col min="6656" max="6656" width="11.28515625" style="25" bestFit="1" customWidth="1"/>
    <col min="6657" max="6657" width="10.28515625" style="25" bestFit="1" customWidth="1"/>
    <col min="6658" max="6658" width="1.140625" style="25" customWidth="1"/>
    <col min="6659" max="6659" width="9.140625" style="25"/>
    <col min="6660" max="6661" width="10.28515625" style="25" customWidth="1"/>
    <col min="6662" max="6662" width="9.140625" style="25"/>
    <col min="6663" max="6663" width="8.42578125" style="25" customWidth="1"/>
    <col min="6664" max="6664" width="9.28515625" style="25" bestFit="1" customWidth="1"/>
    <col min="6665" max="6665" width="7.85546875" style="25" customWidth="1"/>
    <col min="6666" max="6668" width="9.85546875" style="25" customWidth="1"/>
    <col min="6669" max="6669" width="9.140625" style="25"/>
    <col min="6670" max="6671" width="9.85546875" style="25" customWidth="1"/>
    <col min="6672" max="6675" width="9.140625" style="25"/>
    <col min="6676" max="6676" width="15.85546875" style="25" bestFit="1" customWidth="1"/>
    <col min="6677" max="6677" width="15.5703125" style="25" customWidth="1"/>
    <col min="6678" max="6911" width="9.140625" style="25"/>
    <col min="6912" max="6912" width="11.28515625" style="25" bestFit="1" customWidth="1"/>
    <col min="6913" max="6913" width="10.28515625" style="25" bestFit="1" customWidth="1"/>
    <col min="6914" max="6914" width="1.140625" style="25" customWidth="1"/>
    <col min="6915" max="6915" width="9.140625" style="25"/>
    <col min="6916" max="6917" width="10.28515625" style="25" customWidth="1"/>
    <col min="6918" max="6918" width="9.140625" style="25"/>
    <col min="6919" max="6919" width="8.42578125" style="25" customWidth="1"/>
    <col min="6920" max="6920" width="9.28515625" style="25" bestFit="1" customWidth="1"/>
    <col min="6921" max="6921" width="7.85546875" style="25" customWidth="1"/>
    <col min="6922" max="6924" width="9.85546875" style="25" customWidth="1"/>
    <col min="6925" max="6925" width="9.140625" style="25"/>
    <col min="6926" max="6927" width="9.85546875" style="25" customWidth="1"/>
    <col min="6928" max="6931" width="9.140625" style="25"/>
    <col min="6932" max="6932" width="15.85546875" style="25" bestFit="1" customWidth="1"/>
    <col min="6933" max="6933" width="15.5703125" style="25" customWidth="1"/>
    <col min="6934" max="7167" width="9.140625" style="25"/>
    <col min="7168" max="7168" width="11.28515625" style="25" bestFit="1" customWidth="1"/>
    <col min="7169" max="7169" width="10.28515625" style="25" bestFit="1" customWidth="1"/>
    <col min="7170" max="7170" width="1.140625" style="25" customWidth="1"/>
    <col min="7171" max="7171" width="9.140625" style="25"/>
    <col min="7172" max="7173" width="10.28515625" style="25" customWidth="1"/>
    <col min="7174" max="7174" width="9.140625" style="25"/>
    <col min="7175" max="7175" width="8.42578125" style="25" customWidth="1"/>
    <col min="7176" max="7176" width="9.28515625" style="25" bestFit="1" customWidth="1"/>
    <col min="7177" max="7177" width="7.85546875" style="25" customWidth="1"/>
    <col min="7178" max="7180" width="9.85546875" style="25" customWidth="1"/>
    <col min="7181" max="7181" width="9.140625" style="25"/>
    <col min="7182" max="7183" width="9.85546875" style="25" customWidth="1"/>
    <col min="7184" max="7187" width="9.140625" style="25"/>
    <col min="7188" max="7188" width="15.85546875" style="25" bestFit="1" customWidth="1"/>
    <col min="7189" max="7189" width="15.5703125" style="25" customWidth="1"/>
    <col min="7190" max="7423" width="9.140625" style="25"/>
    <col min="7424" max="7424" width="11.28515625" style="25" bestFit="1" customWidth="1"/>
    <col min="7425" max="7425" width="10.28515625" style="25" bestFit="1" customWidth="1"/>
    <col min="7426" max="7426" width="1.140625" style="25" customWidth="1"/>
    <col min="7427" max="7427" width="9.140625" style="25"/>
    <col min="7428" max="7429" width="10.28515625" style="25" customWidth="1"/>
    <col min="7430" max="7430" width="9.140625" style="25"/>
    <col min="7431" max="7431" width="8.42578125" style="25" customWidth="1"/>
    <col min="7432" max="7432" width="9.28515625" style="25" bestFit="1" customWidth="1"/>
    <col min="7433" max="7433" width="7.85546875" style="25" customWidth="1"/>
    <col min="7434" max="7436" width="9.85546875" style="25" customWidth="1"/>
    <col min="7437" max="7437" width="9.140625" style="25"/>
    <col min="7438" max="7439" width="9.85546875" style="25" customWidth="1"/>
    <col min="7440" max="7443" width="9.140625" style="25"/>
    <col min="7444" max="7444" width="15.85546875" style="25" bestFit="1" customWidth="1"/>
    <col min="7445" max="7445" width="15.5703125" style="25" customWidth="1"/>
    <col min="7446" max="7679" width="9.140625" style="25"/>
    <col min="7680" max="7680" width="11.28515625" style="25" bestFit="1" customWidth="1"/>
    <col min="7681" max="7681" width="10.28515625" style="25" bestFit="1" customWidth="1"/>
    <col min="7682" max="7682" width="1.140625" style="25" customWidth="1"/>
    <col min="7683" max="7683" width="9.140625" style="25"/>
    <col min="7684" max="7685" width="10.28515625" style="25" customWidth="1"/>
    <col min="7686" max="7686" width="9.140625" style="25"/>
    <col min="7687" max="7687" width="8.42578125" style="25" customWidth="1"/>
    <col min="7688" max="7688" width="9.28515625" style="25" bestFit="1" customWidth="1"/>
    <col min="7689" max="7689" width="7.85546875" style="25" customWidth="1"/>
    <col min="7690" max="7692" width="9.85546875" style="25" customWidth="1"/>
    <col min="7693" max="7693" width="9.140625" style="25"/>
    <col min="7694" max="7695" width="9.85546875" style="25" customWidth="1"/>
    <col min="7696" max="7699" width="9.140625" style="25"/>
    <col min="7700" max="7700" width="15.85546875" style="25" bestFit="1" customWidth="1"/>
    <col min="7701" max="7701" width="15.5703125" style="25" customWidth="1"/>
    <col min="7702" max="7935" width="9.140625" style="25"/>
    <col min="7936" max="7936" width="11.28515625" style="25" bestFit="1" customWidth="1"/>
    <col min="7937" max="7937" width="10.28515625" style="25" bestFit="1" customWidth="1"/>
    <col min="7938" max="7938" width="1.140625" style="25" customWidth="1"/>
    <col min="7939" max="7939" width="9.140625" style="25"/>
    <col min="7940" max="7941" width="10.28515625" style="25" customWidth="1"/>
    <col min="7942" max="7942" width="9.140625" style="25"/>
    <col min="7943" max="7943" width="8.42578125" style="25" customWidth="1"/>
    <col min="7944" max="7944" width="9.28515625" style="25" bestFit="1" customWidth="1"/>
    <col min="7945" max="7945" width="7.85546875" style="25" customWidth="1"/>
    <col min="7946" max="7948" width="9.85546875" style="25" customWidth="1"/>
    <col min="7949" max="7949" width="9.140625" style="25"/>
    <col min="7950" max="7951" width="9.85546875" style="25" customWidth="1"/>
    <col min="7952" max="7955" width="9.140625" style="25"/>
    <col min="7956" max="7956" width="15.85546875" style="25" bestFit="1" customWidth="1"/>
    <col min="7957" max="7957" width="15.5703125" style="25" customWidth="1"/>
    <col min="7958" max="8191" width="9.140625" style="25"/>
    <col min="8192" max="8192" width="11.28515625" style="25" bestFit="1" customWidth="1"/>
    <col min="8193" max="8193" width="10.28515625" style="25" bestFit="1" customWidth="1"/>
    <col min="8194" max="8194" width="1.140625" style="25" customWidth="1"/>
    <col min="8195" max="8195" width="9.140625" style="25"/>
    <col min="8196" max="8197" width="10.28515625" style="25" customWidth="1"/>
    <col min="8198" max="8198" width="9.140625" style="25"/>
    <col min="8199" max="8199" width="8.42578125" style="25" customWidth="1"/>
    <col min="8200" max="8200" width="9.28515625" style="25" bestFit="1" customWidth="1"/>
    <col min="8201" max="8201" width="7.85546875" style="25" customWidth="1"/>
    <col min="8202" max="8204" width="9.85546875" style="25" customWidth="1"/>
    <col min="8205" max="8205" width="9.140625" style="25"/>
    <col min="8206" max="8207" width="9.85546875" style="25" customWidth="1"/>
    <col min="8208" max="8211" width="9.140625" style="25"/>
    <col min="8212" max="8212" width="15.85546875" style="25" bestFit="1" customWidth="1"/>
    <col min="8213" max="8213" width="15.5703125" style="25" customWidth="1"/>
    <col min="8214" max="8447" width="9.140625" style="25"/>
    <col min="8448" max="8448" width="11.28515625" style="25" bestFit="1" customWidth="1"/>
    <col min="8449" max="8449" width="10.28515625" style="25" bestFit="1" customWidth="1"/>
    <col min="8450" max="8450" width="1.140625" style="25" customWidth="1"/>
    <col min="8451" max="8451" width="9.140625" style="25"/>
    <col min="8452" max="8453" width="10.28515625" style="25" customWidth="1"/>
    <col min="8454" max="8454" width="9.140625" style="25"/>
    <col min="8455" max="8455" width="8.42578125" style="25" customWidth="1"/>
    <col min="8456" max="8456" width="9.28515625" style="25" bestFit="1" customWidth="1"/>
    <col min="8457" max="8457" width="7.85546875" style="25" customWidth="1"/>
    <col min="8458" max="8460" width="9.85546875" style="25" customWidth="1"/>
    <col min="8461" max="8461" width="9.140625" style="25"/>
    <col min="8462" max="8463" width="9.85546875" style="25" customWidth="1"/>
    <col min="8464" max="8467" width="9.140625" style="25"/>
    <col min="8468" max="8468" width="15.85546875" style="25" bestFit="1" customWidth="1"/>
    <col min="8469" max="8469" width="15.5703125" style="25" customWidth="1"/>
    <col min="8470" max="8703" width="9.140625" style="25"/>
    <col min="8704" max="8704" width="11.28515625" style="25" bestFit="1" customWidth="1"/>
    <col min="8705" max="8705" width="10.28515625" style="25" bestFit="1" customWidth="1"/>
    <col min="8706" max="8706" width="1.140625" style="25" customWidth="1"/>
    <col min="8707" max="8707" width="9.140625" style="25"/>
    <col min="8708" max="8709" width="10.28515625" style="25" customWidth="1"/>
    <col min="8710" max="8710" width="9.140625" style="25"/>
    <col min="8711" max="8711" width="8.42578125" style="25" customWidth="1"/>
    <col min="8712" max="8712" width="9.28515625" style="25" bestFit="1" customWidth="1"/>
    <col min="8713" max="8713" width="7.85546875" style="25" customWidth="1"/>
    <col min="8714" max="8716" width="9.85546875" style="25" customWidth="1"/>
    <col min="8717" max="8717" width="9.140625" style="25"/>
    <col min="8718" max="8719" width="9.85546875" style="25" customWidth="1"/>
    <col min="8720" max="8723" width="9.140625" style="25"/>
    <col min="8724" max="8724" width="15.85546875" style="25" bestFit="1" customWidth="1"/>
    <col min="8725" max="8725" width="15.5703125" style="25" customWidth="1"/>
    <col min="8726" max="8959" width="9.140625" style="25"/>
    <col min="8960" max="8960" width="11.28515625" style="25" bestFit="1" customWidth="1"/>
    <col min="8961" max="8961" width="10.28515625" style="25" bestFit="1" customWidth="1"/>
    <col min="8962" max="8962" width="1.140625" style="25" customWidth="1"/>
    <col min="8963" max="8963" width="9.140625" style="25"/>
    <col min="8964" max="8965" width="10.28515625" style="25" customWidth="1"/>
    <col min="8966" max="8966" width="9.140625" style="25"/>
    <col min="8967" max="8967" width="8.42578125" style="25" customWidth="1"/>
    <col min="8968" max="8968" width="9.28515625" style="25" bestFit="1" customWidth="1"/>
    <col min="8969" max="8969" width="7.85546875" style="25" customWidth="1"/>
    <col min="8970" max="8972" width="9.85546875" style="25" customWidth="1"/>
    <col min="8973" max="8973" width="9.140625" style="25"/>
    <col min="8974" max="8975" width="9.85546875" style="25" customWidth="1"/>
    <col min="8976" max="8979" width="9.140625" style="25"/>
    <col min="8980" max="8980" width="15.85546875" style="25" bestFit="1" customWidth="1"/>
    <col min="8981" max="8981" width="15.5703125" style="25" customWidth="1"/>
    <col min="8982" max="9215" width="9.140625" style="25"/>
    <col min="9216" max="9216" width="11.28515625" style="25" bestFit="1" customWidth="1"/>
    <col min="9217" max="9217" width="10.28515625" style="25" bestFit="1" customWidth="1"/>
    <col min="9218" max="9218" width="1.140625" style="25" customWidth="1"/>
    <col min="9219" max="9219" width="9.140625" style="25"/>
    <col min="9220" max="9221" width="10.28515625" style="25" customWidth="1"/>
    <col min="9222" max="9222" width="9.140625" style="25"/>
    <col min="9223" max="9223" width="8.42578125" style="25" customWidth="1"/>
    <col min="9224" max="9224" width="9.28515625" style="25" bestFit="1" customWidth="1"/>
    <col min="9225" max="9225" width="7.85546875" style="25" customWidth="1"/>
    <col min="9226" max="9228" width="9.85546875" style="25" customWidth="1"/>
    <col min="9229" max="9229" width="9.140625" style="25"/>
    <col min="9230" max="9231" width="9.85546875" style="25" customWidth="1"/>
    <col min="9232" max="9235" width="9.140625" style="25"/>
    <col min="9236" max="9236" width="15.85546875" style="25" bestFit="1" customWidth="1"/>
    <col min="9237" max="9237" width="15.5703125" style="25" customWidth="1"/>
    <col min="9238" max="9471" width="9.140625" style="25"/>
    <col min="9472" max="9472" width="11.28515625" style="25" bestFit="1" customWidth="1"/>
    <col min="9473" max="9473" width="10.28515625" style="25" bestFit="1" customWidth="1"/>
    <col min="9474" max="9474" width="1.140625" style="25" customWidth="1"/>
    <col min="9475" max="9475" width="9.140625" style="25"/>
    <col min="9476" max="9477" width="10.28515625" style="25" customWidth="1"/>
    <col min="9478" max="9478" width="9.140625" style="25"/>
    <col min="9479" max="9479" width="8.42578125" style="25" customWidth="1"/>
    <col min="9480" max="9480" width="9.28515625" style="25" bestFit="1" customWidth="1"/>
    <col min="9481" max="9481" width="7.85546875" style="25" customWidth="1"/>
    <col min="9482" max="9484" width="9.85546875" style="25" customWidth="1"/>
    <col min="9485" max="9485" width="9.140625" style="25"/>
    <col min="9486" max="9487" width="9.85546875" style="25" customWidth="1"/>
    <col min="9488" max="9491" width="9.140625" style="25"/>
    <col min="9492" max="9492" width="15.85546875" style="25" bestFit="1" customWidth="1"/>
    <col min="9493" max="9493" width="15.5703125" style="25" customWidth="1"/>
    <col min="9494" max="9727" width="9.140625" style="25"/>
    <col min="9728" max="9728" width="11.28515625" style="25" bestFit="1" customWidth="1"/>
    <col min="9729" max="9729" width="10.28515625" style="25" bestFit="1" customWidth="1"/>
    <col min="9730" max="9730" width="1.140625" style="25" customWidth="1"/>
    <col min="9731" max="9731" width="9.140625" style="25"/>
    <col min="9732" max="9733" width="10.28515625" style="25" customWidth="1"/>
    <col min="9734" max="9734" width="9.140625" style="25"/>
    <col min="9735" max="9735" width="8.42578125" style="25" customWidth="1"/>
    <col min="9736" max="9736" width="9.28515625" style="25" bestFit="1" customWidth="1"/>
    <col min="9737" max="9737" width="7.85546875" style="25" customWidth="1"/>
    <col min="9738" max="9740" width="9.85546875" style="25" customWidth="1"/>
    <col min="9741" max="9741" width="9.140625" style="25"/>
    <col min="9742" max="9743" width="9.85546875" style="25" customWidth="1"/>
    <col min="9744" max="9747" width="9.140625" style="25"/>
    <col min="9748" max="9748" width="15.85546875" style="25" bestFit="1" customWidth="1"/>
    <col min="9749" max="9749" width="15.5703125" style="25" customWidth="1"/>
    <col min="9750" max="9983" width="9.140625" style="25"/>
    <col min="9984" max="9984" width="11.28515625" style="25" bestFit="1" customWidth="1"/>
    <col min="9985" max="9985" width="10.28515625" style="25" bestFit="1" customWidth="1"/>
    <col min="9986" max="9986" width="1.140625" style="25" customWidth="1"/>
    <col min="9987" max="9987" width="9.140625" style="25"/>
    <col min="9988" max="9989" width="10.28515625" style="25" customWidth="1"/>
    <col min="9990" max="9990" width="9.140625" style="25"/>
    <col min="9991" max="9991" width="8.42578125" style="25" customWidth="1"/>
    <col min="9992" max="9992" width="9.28515625" style="25" bestFit="1" customWidth="1"/>
    <col min="9993" max="9993" width="7.85546875" style="25" customWidth="1"/>
    <col min="9994" max="9996" width="9.85546875" style="25" customWidth="1"/>
    <col min="9997" max="9997" width="9.140625" style="25"/>
    <col min="9998" max="9999" width="9.85546875" style="25" customWidth="1"/>
    <col min="10000" max="10003" width="9.140625" style="25"/>
    <col min="10004" max="10004" width="15.85546875" style="25" bestFit="1" customWidth="1"/>
    <col min="10005" max="10005" width="15.5703125" style="25" customWidth="1"/>
    <col min="10006" max="10239" width="9.140625" style="25"/>
    <col min="10240" max="10240" width="11.28515625" style="25" bestFit="1" customWidth="1"/>
    <col min="10241" max="10241" width="10.28515625" style="25" bestFit="1" customWidth="1"/>
    <col min="10242" max="10242" width="1.140625" style="25" customWidth="1"/>
    <col min="10243" max="10243" width="9.140625" style="25"/>
    <col min="10244" max="10245" width="10.28515625" style="25" customWidth="1"/>
    <col min="10246" max="10246" width="9.140625" style="25"/>
    <col min="10247" max="10247" width="8.42578125" style="25" customWidth="1"/>
    <col min="10248" max="10248" width="9.28515625" style="25" bestFit="1" customWidth="1"/>
    <col min="10249" max="10249" width="7.85546875" style="25" customWidth="1"/>
    <col min="10250" max="10252" width="9.85546875" style="25" customWidth="1"/>
    <col min="10253" max="10253" width="9.140625" style="25"/>
    <col min="10254" max="10255" width="9.85546875" style="25" customWidth="1"/>
    <col min="10256" max="10259" width="9.140625" style="25"/>
    <col min="10260" max="10260" width="15.85546875" style="25" bestFit="1" customWidth="1"/>
    <col min="10261" max="10261" width="15.5703125" style="25" customWidth="1"/>
    <col min="10262" max="10495" width="9.140625" style="25"/>
    <col min="10496" max="10496" width="11.28515625" style="25" bestFit="1" customWidth="1"/>
    <col min="10497" max="10497" width="10.28515625" style="25" bestFit="1" customWidth="1"/>
    <col min="10498" max="10498" width="1.140625" style="25" customWidth="1"/>
    <col min="10499" max="10499" width="9.140625" style="25"/>
    <col min="10500" max="10501" width="10.28515625" style="25" customWidth="1"/>
    <col min="10502" max="10502" width="9.140625" style="25"/>
    <col min="10503" max="10503" width="8.42578125" style="25" customWidth="1"/>
    <col min="10504" max="10504" width="9.28515625" style="25" bestFit="1" customWidth="1"/>
    <col min="10505" max="10505" width="7.85546875" style="25" customWidth="1"/>
    <col min="10506" max="10508" width="9.85546875" style="25" customWidth="1"/>
    <col min="10509" max="10509" width="9.140625" style="25"/>
    <col min="10510" max="10511" width="9.85546875" style="25" customWidth="1"/>
    <col min="10512" max="10515" width="9.140625" style="25"/>
    <col min="10516" max="10516" width="15.85546875" style="25" bestFit="1" customWidth="1"/>
    <col min="10517" max="10517" width="15.5703125" style="25" customWidth="1"/>
    <col min="10518" max="10751" width="9.140625" style="25"/>
    <col min="10752" max="10752" width="11.28515625" style="25" bestFit="1" customWidth="1"/>
    <col min="10753" max="10753" width="10.28515625" style="25" bestFit="1" customWidth="1"/>
    <col min="10754" max="10754" width="1.140625" style="25" customWidth="1"/>
    <col min="10755" max="10755" width="9.140625" style="25"/>
    <col min="10756" max="10757" width="10.28515625" style="25" customWidth="1"/>
    <col min="10758" max="10758" width="9.140625" style="25"/>
    <col min="10759" max="10759" width="8.42578125" style="25" customWidth="1"/>
    <col min="10760" max="10760" width="9.28515625" style="25" bestFit="1" customWidth="1"/>
    <col min="10761" max="10761" width="7.85546875" style="25" customWidth="1"/>
    <col min="10762" max="10764" width="9.85546875" style="25" customWidth="1"/>
    <col min="10765" max="10765" width="9.140625" style="25"/>
    <col min="10766" max="10767" width="9.85546875" style="25" customWidth="1"/>
    <col min="10768" max="10771" width="9.140625" style="25"/>
    <col min="10772" max="10772" width="15.85546875" style="25" bestFit="1" customWidth="1"/>
    <col min="10773" max="10773" width="15.5703125" style="25" customWidth="1"/>
    <col min="10774" max="11007" width="9.140625" style="25"/>
    <col min="11008" max="11008" width="11.28515625" style="25" bestFit="1" customWidth="1"/>
    <col min="11009" max="11009" width="10.28515625" style="25" bestFit="1" customWidth="1"/>
    <col min="11010" max="11010" width="1.140625" style="25" customWidth="1"/>
    <col min="11011" max="11011" width="9.140625" style="25"/>
    <col min="11012" max="11013" width="10.28515625" style="25" customWidth="1"/>
    <col min="11014" max="11014" width="9.140625" style="25"/>
    <col min="11015" max="11015" width="8.42578125" style="25" customWidth="1"/>
    <col min="11016" max="11016" width="9.28515625" style="25" bestFit="1" customWidth="1"/>
    <col min="11017" max="11017" width="7.85546875" style="25" customWidth="1"/>
    <col min="11018" max="11020" width="9.85546875" style="25" customWidth="1"/>
    <col min="11021" max="11021" width="9.140625" style="25"/>
    <col min="11022" max="11023" width="9.85546875" style="25" customWidth="1"/>
    <col min="11024" max="11027" width="9.140625" style="25"/>
    <col min="11028" max="11028" width="15.85546875" style="25" bestFit="1" customWidth="1"/>
    <col min="11029" max="11029" width="15.5703125" style="25" customWidth="1"/>
    <col min="11030" max="11263" width="9.140625" style="25"/>
    <col min="11264" max="11264" width="11.28515625" style="25" bestFit="1" customWidth="1"/>
    <col min="11265" max="11265" width="10.28515625" style="25" bestFit="1" customWidth="1"/>
    <col min="11266" max="11266" width="1.140625" style="25" customWidth="1"/>
    <col min="11267" max="11267" width="9.140625" style="25"/>
    <col min="11268" max="11269" width="10.28515625" style="25" customWidth="1"/>
    <col min="11270" max="11270" width="9.140625" style="25"/>
    <col min="11271" max="11271" width="8.42578125" style="25" customWidth="1"/>
    <col min="11272" max="11272" width="9.28515625" style="25" bestFit="1" customWidth="1"/>
    <col min="11273" max="11273" width="7.85546875" style="25" customWidth="1"/>
    <col min="11274" max="11276" width="9.85546875" style="25" customWidth="1"/>
    <col min="11277" max="11277" width="9.140625" style="25"/>
    <col min="11278" max="11279" width="9.85546875" style="25" customWidth="1"/>
    <col min="11280" max="11283" width="9.140625" style="25"/>
    <col min="11284" max="11284" width="15.85546875" style="25" bestFit="1" customWidth="1"/>
    <col min="11285" max="11285" width="15.5703125" style="25" customWidth="1"/>
    <col min="11286" max="11519" width="9.140625" style="25"/>
    <col min="11520" max="11520" width="11.28515625" style="25" bestFit="1" customWidth="1"/>
    <col min="11521" max="11521" width="10.28515625" style="25" bestFit="1" customWidth="1"/>
    <col min="11522" max="11522" width="1.140625" style="25" customWidth="1"/>
    <col min="11523" max="11523" width="9.140625" style="25"/>
    <col min="11524" max="11525" width="10.28515625" style="25" customWidth="1"/>
    <col min="11526" max="11526" width="9.140625" style="25"/>
    <col min="11527" max="11527" width="8.42578125" style="25" customWidth="1"/>
    <col min="11528" max="11528" width="9.28515625" style="25" bestFit="1" customWidth="1"/>
    <col min="11529" max="11529" width="7.85546875" style="25" customWidth="1"/>
    <col min="11530" max="11532" width="9.85546875" style="25" customWidth="1"/>
    <col min="11533" max="11533" width="9.140625" style="25"/>
    <col min="11534" max="11535" width="9.85546875" style="25" customWidth="1"/>
    <col min="11536" max="11539" width="9.140625" style="25"/>
    <col min="11540" max="11540" width="15.85546875" style="25" bestFit="1" customWidth="1"/>
    <col min="11541" max="11541" width="15.5703125" style="25" customWidth="1"/>
    <col min="11542" max="11775" width="9.140625" style="25"/>
    <col min="11776" max="11776" width="11.28515625" style="25" bestFit="1" customWidth="1"/>
    <col min="11777" max="11777" width="10.28515625" style="25" bestFit="1" customWidth="1"/>
    <col min="11778" max="11778" width="1.140625" style="25" customWidth="1"/>
    <col min="11779" max="11779" width="9.140625" style="25"/>
    <col min="11780" max="11781" width="10.28515625" style="25" customWidth="1"/>
    <col min="11782" max="11782" width="9.140625" style="25"/>
    <col min="11783" max="11783" width="8.42578125" style="25" customWidth="1"/>
    <col min="11784" max="11784" width="9.28515625" style="25" bestFit="1" customWidth="1"/>
    <col min="11785" max="11785" width="7.85546875" style="25" customWidth="1"/>
    <col min="11786" max="11788" width="9.85546875" style="25" customWidth="1"/>
    <col min="11789" max="11789" width="9.140625" style="25"/>
    <col min="11790" max="11791" width="9.85546875" style="25" customWidth="1"/>
    <col min="11792" max="11795" width="9.140625" style="25"/>
    <col min="11796" max="11796" width="15.85546875" style="25" bestFit="1" customWidth="1"/>
    <col min="11797" max="11797" width="15.5703125" style="25" customWidth="1"/>
    <col min="11798" max="12031" width="9.140625" style="25"/>
    <col min="12032" max="12032" width="11.28515625" style="25" bestFit="1" customWidth="1"/>
    <col min="12033" max="12033" width="10.28515625" style="25" bestFit="1" customWidth="1"/>
    <col min="12034" max="12034" width="1.140625" style="25" customWidth="1"/>
    <col min="12035" max="12035" width="9.140625" style="25"/>
    <col min="12036" max="12037" width="10.28515625" style="25" customWidth="1"/>
    <col min="12038" max="12038" width="9.140625" style="25"/>
    <col min="12039" max="12039" width="8.42578125" style="25" customWidth="1"/>
    <col min="12040" max="12040" width="9.28515625" style="25" bestFit="1" customWidth="1"/>
    <col min="12041" max="12041" width="7.85546875" style="25" customWidth="1"/>
    <col min="12042" max="12044" width="9.85546875" style="25" customWidth="1"/>
    <col min="12045" max="12045" width="9.140625" style="25"/>
    <col min="12046" max="12047" width="9.85546875" style="25" customWidth="1"/>
    <col min="12048" max="12051" width="9.140625" style="25"/>
    <col min="12052" max="12052" width="15.85546875" style="25" bestFit="1" customWidth="1"/>
    <col min="12053" max="12053" width="15.5703125" style="25" customWidth="1"/>
    <col min="12054" max="12287" width="9.140625" style="25"/>
    <col min="12288" max="12288" width="11.28515625" style="25" bestFit="1" customWidth="1"/>
    <col min="12289" max="12289" width="10.28515625" style="25" bestFit="1" customWidth="1"/>
    <col min="12290" max="12290" width="1.140625" style="25" customWidth="1"/>
    <col min="12291" max="12291" width="9.140625" style="25"/>
    <col min="12292" max="12293" width="10.28515625" style="25" customWidth="1"/>
    <col min="12294" max="12294" width="9.140625" style="25"/>
    <col min="12295" max="12295" width="8.42578125" style="25" customWidth="1"/>
    <col min="12296" max="12296" width="9.28515625" style="25" bestFit="1" customWidth="1"/>
    <col min="12297" max="12297" width="7.85546875" style="25" customWidth="1"/>
    <col min="12298" max="12300" width="9.85546875" style="25" customWidth="1"/>
    <col min="12301" max="12301" width="9.140625" style="25"/>
    <col min="12302" max="12303" width="9.85546875" style="25" customWidth="1"/>
    <col min="12304" max="12307" width="9.140625" style="25"/>
    <col min="12308" max="12308" width="15.85546875" style="25" bestFit="1" customWidth="1"/>
    <col min="12309" max="12309" width="15.5703125" style="25" customWidth="1"/>
    <col min="12310" max="12543" width="9.140625" style="25"/>
    <col min="12544" max="12544" width="11.28515625" style="25" bestFit="1" customWidth="1"/>
    <col min="12545" max="12545" width="10.28515625" style="25" bestFit="1" customWidth="1"/>
    <col min="12546" max="12546" width="1.140625" style="25" customWidth="1"/>
    <col min="12547" max="12547" width="9.140625" style="25"/>
    <col min="12548" max="12549" width="10.28515625" style="25" customWidth="1"/>
    <col min="12550" max="12550" width="9.140625" style="25"/>
    <col min="12551" max="12551" width="8.42578125" style="25" customWidth="1"/>
    <col min="12552" max="12552" width="9.28515625" style="25" bestFit="1" customWidth="1"/>
    <col min="12553" max="12553" width="7.85546875" style="25" customWidth="1"/>
    <col min="12554" max="12556" width="9.85546875" style="25" customWidth="1"/>
    <col min="12557" max="12557" width="9.140625" style="25"/>
    <col min="12558" max="12559" width="9.85546875" style="25" customWidth="1"/>
    <col min="12560" max="12563" width="9.140625" style="25"/>
    <col min="12564" max="12564" width="15.85546875" style="25" bestFit="1" customWidth="1"/>
    <col min="12565" max="12565" width="15.5703125" style="25" customWidth="1"/>
    <col min="12566" max="12799" width="9.140625" style="25"/>
    <col min="12800" max="12800" width="11.28515625" style="25" bestFit="1" customWidth="1"/>
    <col min="12801" max="12801" width="10.28515625" style="25" bestFit="1" customWidth="1"/>
    <col min="12802" max="12802" width="1.140625" style="25" customWidth="1"/>
    <col min="12803" max="12803" width="9.140625" style="25"/>
    <col min="12804" max="12805" width="10.28515625" style="25" customWidth="1"/>
    <col min="12806" max="12806" width="9.140625" style="25"/>
    <col min="12807" max="12807" width="8.42578125" style="25" customWidth="1"/>
    <col min="12808" max="12808" width="9.28515625" style="25" bestFit="1" customWidth="1"/>
    <col min="12809" max="12809" width="7.85546875" style="25" customWidth="1"/>
    <col min="12810" max="12812" width="9.85546875" style="25" customWidth="1"/>
    <col min="12813" max="12813" width="9.140625" style="25"/>
    <col min="12814" max="12815" width="9.85546875" style="25" customWidth="1"/>
    <col min="12816" max="12819" width="9.140625" style="25"/>
    <col min="12820" max="12820" width="15.85546875" style="25" bestFit="1" customWidth="1"/>
    <col min="12821" max="12821" width="15.5703125" style="25" customWidth="1"/>
    <col min="12822" max="13055" width="9.140625" style="25"/>
    <col min="13056" max="13056" width="11.28515625" style="25" bestFit="1" customWidth="1"/>
    <col min="13057" max="13057" width="10.28515625" style="25" bestFit="1" customWidth="1"/>
    <col min="13058" max="13058" width="1.140625" style="25" customWidth="1"/>
    <col min="13059" max="13059" width="9.140625" style="25"/>
    <col min="13060" max="13061" width="10.28515625" style="25" customWidth="1"/>
    <col min="13062" max="13062" width="9.140625" style="25"/>
    <col min="13063" max="13063" width="8.42578125" style="25" customWidth="1"/>
    <col min="13064" max="13064" width="9.28515625" style="25" bestFit="1" customWidth="1"/>
    <col min="13065" max="13065" width="7.85546875" style="25" customWidth="1"/>
    <col min="13066" max="13068" width="9.85546875" style="25" customWidth="1"/>
    <col min="13069" max="13069" width="9.140625" style="25"/>
    <col min="13070" max="13071" width="9.85546875" style="25" customWidth="1"/>
    <col min="13072" max="13075" width="9.140625" style="25"/>
    <col min="13076" max="13076" width="15.85546875" style="25" bestFit="1" customWidth="1"/>
    <col min="13077" max="13077" width="15.5703125" style="25" customWidth="1"/>
    <col min="13078" max="13311" width="9.140625" style="25"/>
    <col min="13312" max="13312" width="11.28515625" style="25" bestFit="1" customWidth="1"/>
    <col min="13313" max="13313" width="10.28515625" style="25" bestFit="1" customWidth="1"/>
    <col min="13314" max="13314" width="1.140625" style="25" customWidth="1"/>
    <col min="13315" max="13315" width="9.140625" style="25"/>
    <col min="13316" max="13317" width="10.28515625" style="25" customWidth="1"/>
    <col min="13318" max="13318" width="9.140625" style="25"/>
    <col min="13319" max="13319" width="8.42578125" style="25" customWidth="1"/>
    <col min="13320" max="13320" width="9.28515625" style="25" bestFit="1" customWidth="1"/>
    <col min="13321" max="13321" width="7.85546875" style="25" customWidth="1"/>
    <col min="13322" max="13324" width="9.85546875" style="25" customWidth="1"/>
    <col min="13325" max="13325" width="9.140625" style="25"/>
    <col min="13326" max="13327" width="9.85546875" style="25" customWidth="1"/>
    <col min="13328" max="13331" width="9.140625" style="25"/>
    <col min="13332" max="13332" width="15.85546875" style="25" bestFit="1" customWidth="1"/>
    <col min="13333" max="13333" width="15.5703125" style="25" customWidth="1"/>
    <col min="13334" max="13567" width="9.140625" style="25"/>
    <col min="13568" max="13568" width="11.28515625" style="25" bestFit="1" customWidth="1"/>
    <col min="13569" max="13569" width="10.28515625" style="25" bestFit="1" customWidth="1"/>
    <col min="13570" max="13570" width="1.140625" style="25" customWidth="1"/>
    <col min="13571" max="13571" width="9.140625" style="25"/>
    <col min="13572" max="13573" width="10.28515625" style="25" customWidth="1"/>
    <col min="13574" max="13574" width="9.140625" style="25"/>
    <col min="13575" max="13575" width="8.42578125" style="25" customWidth="1"/>
    <col min="13576" max="13576" width="9.28515625" style="25" bestFit="1" customWidth="1"/>
    <col min="13577" max="13577" width="7.85546875" style="25" customWidth="1"/>
    <col min="13578" max="13580" width="9.85546875" style="25" customWidth="1"/>
    <col min="13581" max="13581" width="9.140625" style="25"/>
    <col min="13582" max="13583" width="9.85546875" style="25" customWidth="1"/>
    <col min="13584" max="13587" width="9.140625" style="25"/>
    <col min="13588" max="13588" width="15.85546875" style="25" bestFit="1" customWidth="1"/>
    <col min="13589" max="13589" width="15.5703125" style="25" customWidth="1"/>
    <col min="13590" max="13823" width="9.140625" style="25"/>
    <col min="13824" max="13824" width="11.28515625" style="25" bestFit="1" customWidth="1"/>
    <col min="13825" max="13825" width="10.28515625" style="25" bestFit="1" customWidth="1"/>
    <col min="13826" max="13826" width="1.140625" style="25" customWidth="1"/>
    <col min="13827" max="13827" width="9.140625" style="25"/>
    <col min="13828" max="13829" width="10.28515625" style="25" customWidth="1"/>
    <col min="13830" max="13830" width="9.140625" style="25"/>
    <col min="13831" max="13831" width="8.42578125" style="25" customWidth="1"/>
    <col min="13832" max="13832" width="9.28515625" style="25" bestFit="1" customWidth="1"/>
    <col min="13833" max="13833" width="7.85546875" style="25" customWidth="1"/>
    <col min="13834" max="13836" width="9.85546875" style="25" customWidth="1"/>
    <col min="13837" max="13837" width="9.140625" style="25"/>
    <col min="13838" max="13839" width="9.85546875" style="25" customWidth="1"/>
    <col min="13840" max="13843" width="9.140625" style="25"/>
    <col min="13844" max="13844" width="15.85546875" style="25" bestFit="1" customWidth="1"/>
    <col min="13845" max="13845" width="15.5703125" style="25" customWidth="1"/>
    <col min="13846" max="14079" width="9.140625" style="25"/>
    <col min="14080" max="14080" width="11.28515625" style="25" bestFit="1" customWidth="1"/>
    <col min="14081" max="14081" width="10.28515625" style="25" bestFit="1" customWidth="1"/>
    <col min="14082" max="14082" width="1.140625" style="25" customWidth="1"/>
    <col min="14083" max="14083" width="9.140625" style="25"/>
    <col min="14084" max="14085" width="10.28515625" style="25" customWidth="1"/>
    <col min="14086" max="14086" width="9.140625" style="25"/>
    <col min="14087" max="14087" width="8.42578125" style="25" customWidth="1"/>
    <col min="14088" max="14088" width="9.28515625" style="25" bestFit="1" customWidth="1"/>
    <col min="14089" max="14089" width="7.85546875" style="25" customWidth="1"/>
    <col min="14090" max="14092" width="9.85546875" style="25" customWidth="1"/>
    <col min="14093" max="14093" width="9.140625" style="25"/>
    <col min="14094" max="14095" width="9.85546875" style="25" customWidth="1"/>
    <col min="14096" max="14099" width="9.140625" style="25"/>
    <col min="14100" max="14100" width="15.85546875" style="25" bestFit="1" customWidth="1"/>
    <col min="14101" max="14101" width="15.5703125" style="25" customWidth="1"/>
    <col min="14102" max="14335" width="9.140625" style="25"/>
    <col min="14336" max="14336" width="11.28515625" style="25" bestFit="1" customWidth="1"/>
    <col min="14337" max="14337" width="10.28515625" style="25" bestFit="1" customWidth="1"/>
    <col min="14338" max="14338" width="1.140625" style="25" customWidth="1"/>
    <col min="14339" max="14339" width="9.140625" style="25"/>
    <col min="14340" max="14341" width="10.28515625" style="25" customWidth="1"/>
    <col min="14342" max="14342" width="9.140625" style="25"/>
    <col min="14343" max="14343" width="8.42578125" style="25" customWidth="1"/>
    <col min="14344" max="14344" width="9.28515625" style="25" bestFit="1" customWidth="1"/>
    <col min="14345" max="14345" width="7.85546875" style="25" customWidth="1"/>
    <col min="14346" max="14348" width="9.85546875" style="25" customWidth="1"/>
    <col min="14349" max="14349" width="9.140625" style="25"/>
    <col min="14350" max="14351" width="9.85546875" style="25" customWidth="1"/>
    <col min="14352" max="14355" width="9.140625" style="25"/>
    <col min="14356" max="14356" width="15.85546875" style="25" bestFit="1" customWidth="1"/>
    <col min="14357" max="14357" width="15.5703125" style="25" customWidth="1"/>
    <col min="14358" max="14591" width="9.140625" style="25"/>
    <col min="14592" max="14592" width="11.28515625" style="25" bestFit="1" customWidth="1"/>
    <col min="14593" max="14593" width="10.28515625" style="25" bestFit="1" customWidth="1"/>
    <col min="14594" max="14594" width="1.140625" style="25" customWidth="1"/>
    <col min="14595" max="14595" width="9.140625" style="25"/>
    <col min="14596" max="14597" width="10.28515625" style="25" customWidth="1"/>
    <col min="14598" max="14598" width="9.140625" style="25"/>
    <col min="14599" max="14599" width="8.42578125" style="25" customWidth="1"/>
    <col min="14600" max="14600" width="9.28515625" style="25" bestFit="1" customWidth="1"/>
    <col min="14601" max="14601" width="7.85546875" style="25" customWidth="1"/>
    <col min="14602" max="14604" width="9.85546875" style="25" customWidth="1"/>
    <col min="14605" max="14605" width="9.140625" style="25"/>
    <col min="14606" max="14607" width="9.85546875" style="25" customWidth="1"/>
    <col min="14608" max="14611" width="9.140625" style="25"/>
    <col min="14612" max="14612" width="15.85546875" style="25" bestFit="1" customWidth="1"/>
    <col min="14613" max="14613" width="15.5703125" style="25" customWidth="1"/>
    <col min="14614" max="14847" width="9.140625" style="25"/>
    <col min="14848" max="14848" width="11.28515625" style="25" bestFit="1" customWidth="1"/>
    <col min="14849" max="14849" width="10.28515625" style="25" bestFit="1" customWidth="1"/>
    <col min="14850" max="14850" width="1.140625" style="25" customWidth="1"/>
    <col min="14851" max="14851" width="9.140625" style="25"/>
    <col min="14852" max="14853" width="10.28515625" style="25" customWidth="1"/>
    <col min="14854" max="14854" width="9.140625" style="25"/>
    <col min="14855" max="14855" width="8.42578125" style="25" customWidth="1"/>
    <col min="14856" max="14856" width="9.28515625" style="25" bestFit="1" customWidth="1"/>
    <col min="14857" max="14857" width="7.85546875" style="25" customWidth="1"/>
    <col min="14858" max="14860" width="9.85546875" style="25" customWidth="1"/>
    <col min="14861" max="14861" width="9.140625" style="25"/>
    <col min="14862" max="14863" width="9.85546875" style="25" customWidth="1"/>
    <col min="14864" max="14867" width="9.140625" style="25"/>
    <col min="14868" max="14868" width="15.85546875" style="25" bestFit="1" customWidth="1"/>
    <col min="14869" max="14869" width="15.5703125" style="25" customWidth="1"/>
    <col min="14870" max="15103" width="9.140625" style="25"/>
    <col min="15104" max="15104" width="11.28515625" style="25" bestFit="1" customWidth="1"/>
    <col min="15105" max="15105" width="10.28515625" style="25" bestFit="1" customWidth="1"/>
    <col min="15106" max="15106" width="1.140625" style="25" customWidth="1"/>
    <col min="15107" max="15107" width="9.140625" style="25"/>
    <col min="15108" max="15109" width="10.28515625" style="25" customWidth="1"/>
    <col min="15110" max="15110" width="9.140625" style="25"/>
    <col min="15111" max="15111" width="8.42578125" style="25" customWidth="1"/>
    <col min="15112" max="15112" width="9.28515625" style="25" bestFit="1" customWidth="1"/>
    <col min="15113" max="15113" width="7.85546875" style="25" customWidth="1"/>
    <col min="15114" max="15116" width="9.85546875" style="25" customWidth="1"/>
    <col min="15117" max="15117" width="9.140625" style="25"/>
    <col min="15118" max="15119" width="9.85546875" style="25" customWidth="1"/>
    <col min="15120" max="15123" width="9.140625" style="25"/>
    <col min="15124" max="15124" width="15.85546875" style="25" bestFit="1" customWidth="1"/>
    <col min="15125" max="15125" width="15.5703125" style="25" customWidth="1"/>
    <col min="15126" max="15359" width="9.140625" style="25"/>
    <col min="15360" max="15360" width="11.28515625" style="25" bestFit="1" customWidth="1"/>
    <col min="15361" max="15361" width="10.28515625" style="25" bestFit="1" customWidth="1"/>
    <col min="15362" max="15362" width="1.140625" style="25" customWidth="1"/>
    <col min="15363" max="15363" width="9.140625" style="25"/>
    <col min="15364" max="15365" width="10.28515625" style="25" customWidth="1"/>
    <col min="15366" max="15366" width="9.140625" style="25"/>
    <col min="15367" max="15367" width="8.42578125" style="25" customWidth="1"/>
    <col min="15368" max="15368" width="9.28515625" style="25" bestFit="1" customWidth="1"/>
    <col min="15369" max="15369" width="7.85546875" style="25" customWidth="1"/>
    <col min="15370" max="15372" width="9.85546875" style="25" customWidth="1"/>
    <col min="15373" max="15373" width="9.140625" style="25"/>
    <col min="15374" max="15375" width="9.85546875" style="25" customWidth="1"/>
    <col min="15376" max="15379" width="9.140625" style="25"/>
    <col min="15380" max="15380" width="15.85546875" style="25" bestFit="1" customWidth="1"/>
    <col min="15381" max="15381" width="15.5703125" style="25" customWidth="1"/>
    <col min="15382" max="15615" width="9.140625" style="25"/>
    <col min="15616" max="15616" width="11.28515625" style="25" bestFit="1" customWidth="1"/>
    <col min="15617" max="15617" width="10.28515625" style="25" bestFit="1" customWidth="1"/>
    <col min="15618" max="15618" width="1.140625" style="25" customWidth="1"/>
    <col min="15619" max="15619" width="9.140625" style="25"/>
    <col min="15620" max="15621" width="10.28515625" style="25" customWidth="1"/>
    <col min="15622" max="15622" width="9.140625" style="25"/>
    <col min="15623" max="15623" width="8.42578125" style="25" customWidth="1"/>
    <col min="15624" max="15624" width="9.28515625" style="25" bestFit="1" customWidth="1"/>
    <col min="15625" max="15625" width="7.85546875" style="25" customWidth="1"/>
    <col min="15626" max="15628" width="9.85546875" style="25" customWidth="1"/>
    <col min="15629" max="15629" width="9.140625" style="25"/>
    <col min="15630" max="15631" width="9.85546875" style="25" customWidth="1"/>
    <col min="15632" max="15635" width="9.140625" style="25"/>
    <col min="15636" max="15636" width="15.85546875" style="25" bestFit="1" customWidth="1"/>
    <col min="15637" max="15637" width="15.5703125" style="25" customWidth="1"/>
    <col min="15638" max="15871" width="9.140625" style="25"/>
    <col min="15872" max="15872" width="11.28515625" style="25" bestFit="1" customWidth="1"/>
    <col min="15873" max="15873" width="10.28515625" style="25" bestFit="1" customWidth="1"/>
    <col min="15874" max="15874" width="1.140625" style="25" customWidth="1"/>
    <col min="15875" max="15875" width="9.140625" style="25"/>
    <col min="15876" max="15877" width="10.28515625" style="25" customWidth="1"/>
    <col min="15878" max="15878" width="9.140625" style="25"/>
    <col min="15879" max="15879" width="8.42578125" style="25" customWidth="1"/>
    <col min="15880" max="15880" width="9.28515625" style="25" bestFit="1" customWidth="1"/>
    <col min="15881" max="15881" width="7.85546875" style="25" customWidth="1"/>
    <col min="15882" max="15884" width="9.85546875" style="25" customWidth="1"/>
    <col min="15885" max="15885" width="9.140625" style="25"/>
    <col min="15886" max="15887" width="9.85546875" style="25" customWidth="1"/>
    <col min="15888" max="15891" width="9.140625" style="25"/>
    <col min="15892" max="15892" width="15.85546875" style="25" bestFit="1" customWidth="1"/>
    <col min="15893" max="15893" width="15.5703125" style="25" customWidth="1"/>
    <col min="15894" max="16127" width="9.140625" style="25"/>
    <col min="16128" max="16128" width="11.28515625" style="25" bestFit="1" customWidth="1"/>
    <col min="16129" max="16129" width="10.28515625" style="25" bestFit="1" customWidth="1"/>
    <col min="16130" max="16130" width="1.140625" style="25" customWidth="1"/>
    <col min="16131" max="16131" width="9.140625" style="25"/>
    <col min="16132" max="16133" width="10.28515625" style="25" customWidth="1"/>
    <col min="16134" max="16134" width="9.140625" style="25"/>
    <col min="16135" max="16135" width="8.42578125" style="25" customWidth="1"/>
    <col min="16136" max="16136" width="9.28515625" style="25" bestFit="1" customWidth="1"/>
    <col min="16137" max="16137" width="7.85546875" style="25" customWidth="1"/>
    <col min="16138" max="16140" width="9.85546875" style="25" customWidth="1"/>
    <col min="16141" max="16141" width="9.140625" style="25"/>
    <col min="16142" max="16143" width="9.85546875" style="25" customWidth="1"/>
    <col min="16144" max="16147" width="9.140625" style="25"/>
    <col min="16148" max="16148" width="15.85546875" style="25" bestFit="1" customWidth="1"/>
    <col min="16149" max="16149" width="15.5703125" style="25" customWidth="1"/>
    <col min="16150" max="16384" width="9.140625" style="25"/>
  </cols>
  <sheetData>
    <row r="2" spans="1:21" x14ac:dyDescent="0.2">
      <c r="B2" s="25" t="s">
        <v>475</v>
      </c>
    </row>
    <row r="3" spans="1:21" x14ac:dyDescent="0.2">
      <c r="B3" s="257" t="s">
        <v>479</v>
      </c>
      <c r="C3" s="257"/>
      <c r="D3" s="257"/>
      <c r="E3" s="25">
        <f>SUM(B17:B28)</f>
        <v>31262.281999999999</v>
      </c>
    </row>
    <row r="4" spans="1:21" x14ac:dyDescent="0.2">
      <c r="B4" s="257" t="s">
        <v>480</v>
      </c>
      <c r="C4" s="257"/>
      <c r="D4" s="257"/>
      <c r="E4" s="25">
        <f>SUM(C17:C28)</f>
        <v>30712</v>
      </c>
    </row>
    <row r="5" spans="1:21" x14ac:dyDescent="0.2">
      <c r="B5" s="257" t="s">
        <v>481</v>
      </c>
      <c r="C5" s="257"/>
      <c r="D5" s="257"/>
      <c r="E5" s="25">
        <f>SUMPRODUCT(C17:C28,O17:O28)*1000/10^5</f>
        <v>1488.7971</v>
      </c>
    </row>
    <row r="6" spans="1:21" x14ac:dyDescent="0.2">
      <c r="B6" s="257" t="s">
        <v>482</v>
      </c>
      <c r="C6" s="257"/>
      <c r="D6" s="257"/>
      <c r="E6" s="107">
        <f>SUMPRODUCT(B17:B28,N17:N28)*1000/10^5</f>
        <v>1533.074917012369</v>
      </c>
      <c r="G6" s="107"/>
    </row>
    <row r="7" spans="1:21" x14ac:dyDescent="0.2">
      <c r="B7" s="257" t="s">
        <v>483</v>
      </c>
      <c r="C7" s="257"/>
      <c r="D7" s="257"/>
      <c r="E7" s="107">
        <f>E6*10^5/E3</f>
        <v>4903.912379180666</v>
      </c>
      <c r="G7" s="107"/>
    </row>
    <row r="8" spans="1:21" x14ac:dyDescent="0.2">
      <c r="B8" s="257" t="s">
        <v>484</v>
      </c>
      <c r="C8" s="257"/>
      <c r="D8" s="257"/>
      <c r="E8" s="107">
        <f>E5*10^5/E4</f>
        <v>4847.6071242511071</v>
      </c>
      <c r="G8" s="107"/>
    </row>
    <row r="9" spans="1:21" x14ac:dyDescent="0.2">
      <c r="C9" s="107"/>
      <c r="E9" s="25">
        <f>(E7-E8)*E3</f>
        <v>1760230.7576897617</v>
      </c>
      <c r="G9" s="107"/>
    </row>
    <row r="10" spans="1:21" x14ac:dyDescent="0.2">
      <c r="C10" s="107"/>
      <c r="G10" s="107"/>
    </row>
    <row r="11" spans="1:21" x14ac:dyDescent="0.2">
      <c r="C11" s="107"/>
      <c r="G11" s="144"/>
    </row>
    <row r="12" spans="1:21" x14ac:dyDescent="0.2">
      <c r="F12" s="107"/>
      <c r="G12" s="144"/>
    </row>
    <row r="13" spans="1:21" x14ac:dyDescent="0.2">
      <c r="S13" s="229">
        <f>SUM(S23:S28)+S20</f>
        <v>4113655.3591300673</v>
      </c>
      <c r="T13" s="229">
        <f>SUM(T17:T28)</f>
        <v>1106389.9999999995</v>
      </c>
    </row>
    <row r="14" spans="1:21" x14ac:dyDescent="0.2">
      <c r="E14" s="108" t="s">
        <v>485</v>
      </c>
      <c r="F14" s="27"/>
      <c r="G14" s="108" t="s">
        <v>486</v>
      </c>
      <c r="H14" s="27"/>
      <c r="I14" s="108" t="s">
        <v>487</v>
      </c>
      <c r="J14" s="109"/>
      <c r="K14" s="27"/>
      <c r="M14" s="25" t="s">
        <v>488</v>
      </c>
      <c r="N14" s="25" t="s">
        <v>489</v>
      </c>
    </row>
    <row r="15" spans="1:21" ht="85.5" customHeight="1" x14ac:dyDescent="0.2">
      <c r="A15" s="110" t="s">
        <v>490</v>
      </c>
      <c r="B15" s="111" t="s">
        <v>491</v>
      </c>
      <c r="C15" s="111" t="s">
        <v>492</v>
      </c>
      <c r="D15" s="111" t="s">
        <v>493</v>
      </c>
      <c r="E15" s="110" t="s">
        <v>494</v>
      </c>
      <c r="F15" s="110" t="s">
        <v>495</v>
      </c>
      <c r="G15" s="110" t="s">
        <v>494</v>
      </c>
      <c r="H15" s="110" t="s">
        <v>495</v>
      </c>
      <c r="I15" s="110" t="s">
        <v>494</v>
      </c>
      <c r="J15" s="110"/>
      <c r="K15" s="110" t="s">
        <v>495</v>
      </c>
      <c r="L15" s="110" t="s">
        <v>496</v>
      </c>
      <c r="M15" s="112" t="s">
        <v>497</v>
      </c>
      <c r="N15" s="112" t="s">
        <v>498</v>
      </c>
      <c r="O15" s="112" t="s">
        <v>499</v>
      </c>
      <c r="P15" s="112" t="s">
        <v>500</v>
      </c>
      <c r="Q15" s="113" t="s">
        <v>501</v>
      </c>
      <c r="R15" s="112" t="s">
        <v>500</v>
      </c>
      <c r="S15" s="113" t="s">
        <v>502</v>
      </c>
      <c r="T15" s="113" t="s">
        <v>576</v>
      </c>
      <c r="U15" s="113" t="s">
        <v>85</v>
      </c>
    </row>
    <row r="16" spans="1:21" x14ac:dyDescent="0.2">
      <c r="A16" s="114"/>
      <c r="B16" s="114"/>
      <c r="C16" s="114"/>
      <c r="D16" s="114"/>
      <c r="E16" s="114"/>
      <c r="F16" s="114"/>
      <c r="G16" s="114"/>
      <c r="H16" s="114"/>
      <c r="I16" s="114"/>
      <c r="J16" s="114"/>
      <c r="K16" s="114"/>
      <c r="L16" s="114"/>
      <c r="M16" s="115"/>
      <c r="N16" s="115"/>
      <c r="O16" s="26"/>
      <c r="P16" s="116"/>
      <c r="Q16" s="117"/>
      <c r="R16" s="117"/>
      <c r="S16" s="118"/>
      <c r="T16" s="118"/>
    </row>
    <row r="17" spans="1:24" x14ac:dyDescent="0.2">
      <c r="A17" s="119">
        <v>42795</v>
      </c>
      <c r="B17" s="114">
        <v>2585</v>
      </c>
      <c r="C17" s="114">
        <v>2713</v>
      </c>
      <c r="D17" s="120">
        <f t="shared" ref="D17:D27" si="0">C17-B16</f>
        <v>2713</v>
      </c>
      <c r="E17" s="121">
        <v>81.900000000000006</v>
      </c>
      <c r="F17" s="122">
        <f t="shared" ref="F17:F46" si="1">E17/E18-1</f>
        <v>-1.7042726836293709E-2</v>
      </c>
      <c r="G17" s="114">
        <v>60.42</v>
      </c>
      <c r="H17" s="122">
        <f t="shared" ref="H17:H47" si="2">G17/G18-1</f>
        <v>-1.4677103718199636E-2</v>
      </c>
      <c r="I17" s="114">
        <v>56.31</v>
      </c>
      <c r="J17" s="123">
        <f>I17/E17</f>
        <v>0.68754578754578755</v>
      </c>
      <c r="K17" s="122">
        <f t="shared" ref="K17:K47" si="3">I17/I18-1</f>
        <v>-1.607548488554944E-2</v>
      </c>
      <c r="L17" s="114">
        <v>67</v>
      </c>
      <c r="M17" s="124">
        <f>((G18+9)*L18*1.023+400+550)/1000</f>
        <v>5.8507326499999994</v>
      </c>
      <c r="N17" s="124">
        <f>((I18+11)*L18*1.023+400+550)/1000</f>
        <v>5.7050766312499981</v>
      </c>
      <c r="O17" s="26">
        <v>6</v>
      </c>
      <c r="P17" s="125">
        <f t="shared" ref="P17:P35" si="4">O17/M17</f>
        <v>1.0255125911453158</v>
      </c>
      <c r="Q17" s="117"/>
      <c r="R17" s="117" t="s">
        <v>503</v>
      </c>
      <c r="S17" s="230">
        <f>(N17-O17)*B17*1000</f>
        <v>-762376.90821875492</v>
      </c>
      <c r="T17" s="126"/>
    </row>
    <row r="18" spans="1:24" x14ac:dyDescent="0.2">
      <c r="A18" s="119">
        <v>42767</v>
      </c>
      <c r="B18" s="114">
        <v>3190</v>
      </c>
      <c r="C18" s="114">
        <v>2500</v>
      </c>
      <c r="D18" s="120">
        <f t="shared" si="0"/>
        <v>-85</v>
      </c>
      <c r="E18" s="114">
        <v>83.32</v>
      </c>
      <c r="F18" s="122">
        <f t="shared" si="1"/>
        <v>-3.3746955815841528E-2</v>
      </c>
      <c r="G18" s="114">
        <v>61.32</v>
      </c>
      <c r="H18" s="122">
        <f t="shared" si="2"/>
        <v>-2.9439696106362767E-2</v>
      </c>
      <c r="I18" s="114">
        <v>57.23</v>
      </c>
      <c r="J18" s="123">
        <f>I18/E18</f>
        <v>0.68686989918386943</v>
      </c>
      <c r="K18" s="122">
        <f t="shared" si="3"/>
        <v>-3.2296246195468448E-2</v>
      </c>
      <c r="L18" s="114">
        <v>68.125</v>
      </c>
      <c r="M18" s="124">
        <f>((G19+9)*L19*1.023+400+550)/1000</f>
        <v>6.0486616670000002</v>
      </c>
      <c r="N18" s="124">
        <f>((I19+9)*L19*1.023+400+550)/1000</f>
        <v>5.7632835409999998</v>
      </c>
      <c r="O18" s="127">
        <v>6</v>
      </c>
      <c r="P18" s="125">
        <f t="shared" si="4"/>
        <v>0.99195496959840124</v>
      </c>
      <c r="Q18" s="117"/>
      <c r="R18" s="117"/>
      <c r="S18" s="230">
        <f t="shared" ref="S18:S22" si="5">(N18-O18)*B18*1000</f>
        <v>-755125.50421000051</v>
      </c>
      <c r="T18" s="126"/>
    </row>
    <row r="19" spans="1:24" x14ac:dyDescent="0.2">
      <c r="A19" s="119">
        <v>42736</v>
      </c>
      <c r="B19" s="114">
        <v>3042</v>
      </c>
      <c r="C19" s="128">
        <v>4800</v>
      </c>
      <c r="D19" s="120">
        <f t="shared" si="0"/>
        <v>1610</v>
      </c>
      <c r="E19" s="128">
        <v>86.23</v>
      </c>
      <c r="F19" s="122">
        <f t="shared" si="1"/>
        <v>-0.1520306814829383</v>
      </c>
      <c r="G19" s="128">
        <v>63.18</v>
      </c>
      <c r="H19" s="122">
        <f t="shared" si="2"/>
        <v>-0.13463909053554313</v>
      </c>
      <c r="I19" s="128">
        <v>59.14</v>
      </c>
      <c r="J19" s="123">
        <f t="shared" ref="J19:J48" si="6">I19/E19</f>
        <v>0.68584019482778613</v>
      </c>
      <c r="K19" s="122">
        <f t="shared" si="3"/>
        <v>-0.14586943963027144</v>
      </c>
      <c r="L19" s="128">
        <v>69.05</v>
      </c>
      <c r="M19" s="124">
        <f>((G20+9)*L20*1.023+400+550)/1000</f>
        <v>6.7388398699999996</v>
      </c>
      <c r="N19" s="124">
        <f>((I20+9)*L20*1.023+400+550)/1000</f>
        <v>6.4727268799999989</v>
      </c>
      <c r="O19" s="127">
        <v>5.74</v>
      </c>
      <c r="P19" s="125">
        <f t="shared" si="4"/>
        <v>0.8517786608275647</v>
      </c>
      <c r="Q19" s="117"/>
      <c r="R19" s="117"/>
      <c r="S19" s="230">
        <f t="shared" si="5"/>
        <v>2228955.1689599957</v>
      </c>
      <c r="T19" s="126">
        <f>D19*(O18-O19)*1000</f>
        <v>418599.99999999971</v>
      </c>
    </row>
    <row r="20" spans="1:24" x14ac:dyDescent="0.2">
      <c r="A20" s="119">
        <v>42705</v>
      </c>
      <c r="B20" s="114">
        <v>3304</v>
      </c>
      <c r="C20" s="114">
        <v>3200</v>
      </c>
      <c r="D20" s="120">
        <f t="shared" si="0"/>
        <v>158</v>
      </c>
      <c r="E20" s="114">
        <v>101.69</v>
      </c>
      <c r="F20" s="129">
        <f t="shared" si="1"/>
        <v>0.19790316880669101</v>
      </c>
      <c r="G20" s="114">
        <v>73.010000000000005</v>
      </c>
      <c r="H20" s="129">
        <f t="shared" si="2"/>
        <v>0.17153401797175882</v>
      </c>
      <c r="I20" s="114">
        <v>69.239999999999995</v>
      </c>
      <c r="J20" s="123">
        <f t="shared" si="6"/>
        <v>0.68089290982397477</v>
      </c>
      <c r="K20" s="129">
        <f t="shared" si="3"/>
        <v>0.18846549948506697</v>
      </c>
      <c r="L20" s="114">
        <v>69</v>
      </c>
      <c r="M20" s="115">
        <f t="shared" ref="M20:M27" si="7">((G21+9)*L21*1.023+400+550)/1000</f>
        <v>5.9258965519999993</v>
      </c>
      <c r="N20" s="115">
        <f t="shared" ref="N20:N27" si="8">((I21+9)*L21*1.023+400+550)/1000</f>
        <v>5.642636035999999</v>
      </c>
      <c r="O20" s="26">
        <v>5.53</v>
      </c>
      <c r="P20" s="116">
        <f t="shared" si="4"/>
        <v>0.93319212569338839</v>
      </c>
      <c r="Q20" s="117"/>
      <c r="R20" s="117"/>
      <c r="S20" s="230">
        <f t="shared" si="5"/>
        <v>372149.46294399578</v>
      </c>
      <c r="T20" s="126">
        <f t="shared" ref="T20" si="9">D20*(O19-O20)*1000</f>
        <v>33179.999999999993</v>
      </c>
    </row>
    <row r="21" spans="1:24" x14ac:dyDescent="0.2">
      <c r="A21" s="119">
        <v>42675</v>
      </c>
      <c r="B21" s="114">
        <v>2578</v>
      </c>
      <c r="C21" s="114">
        <v>211</v>
      </c>
      <c r="D21" s="120">
        <f t="shared" si="0"/>
        <v>-3093</v>
      </c>
      <c r="E21" s="114">
        <v>84.89</v>
      </c>
      <c r="F21" s="129">
        <f t="shared" si="1"/>
        <v>0.22904299985521948</v>
      </c>
      <c r="G21" s="114">
        <v>62.32</v>
      </c>
      <c r="H21" s="129">
        <f t="shared" si="2"/>
        <v>0.19249904324531197</v>
      </c>
      <c r="I21" s="114">
        <v>58.26</v>
      </c>
      <c r="J21" s="123">
        <f t="shared" si="6"/>
        <v>0.68629991754034625</v>
      </c>
      <c r="K21" s="129">
        <f t="shared" si="3"/>
        <v>0.2155226371792196</v>
      </c>
      <c r="L21" s="114">
        <v>68.2</v>
      </c>
      <c r="M21" s="115">
        <f t="shared" si="7"/>
        <v>5.1820362193999987</v>
      </c>
      <c r="N21" s="115">
        <f t="shared" si="8"/>
        <v>4.882906006699999</v>
      </c>
      <c r="O21" s="26">
        <v>5.66</v>
      </c>
      <c r="P21" s="116">
        <f t="shared" si="4"/>
        <v>1.0922347433255382</v>
      </c>
      <c r="Q21" s="117"/>
      <c r="R21" s="117"/>
      <c r="S21" s="230">
        <f t="shared" si="5"/>
        <v>-2003348.314727403</v>
      </c>
      <c r="T21" s="126">
        <f>D21*(O20-O21)*1000</f>
        <v>402089.99999999971</v>
      </c>
    </row>
    <row r="22" spans="1:24" x14ac:dyDescent="0.2">
      <c r="A22" s="119">
        <v>42644</v>
      </c>
      <c r="B22" s="114">
        <v>1187</v>
      </c>
      <c r="C22" s="114">
        <v>3050</v>
      </c>
      <c r="D22" s="120">
        <f t="shared" si="0"/>
        <v>472</v>
      </c>
      <c r="E22" s="114">
        <v>69.069999999999993</v>
      </c>
      <c r="F22" s="129">
        <f t="shared" si="1"/>
        <v>8.0400437979039507E-2</v>
      </c>
      <c r="G22" s="114">
        <v>52.26</v>
      </c>
      <c r="H22" s="129">
        <f t="shared" si="2"/>
        <v>6.6748315982853468E-2</v>
      </c>
      <c r="I22" s="114">
        <v>47.93</v>
      </c>
      <c r="J22" s="123">
        <f t="shared" si="6"/>
        <v>0.6939336904589547</v>
      </c>
      <c r="K22" s="129">
        <f t="shared" si="3"/>
        <v>7.538703163562932E-2</v>
      </c>
      <c r="L22" s="114">
        <v>67.53</v>
      </c>
      <c r="M22" s="115">
        <f t="shared" si="7"/>
        <v>4.9780839830000003</v>
      </c>
      <c r="N22" s="115">
        <f>((I23+9)*L23*1.023+400+550)/1000</f>
        <v>4.6710632690000002</v>
      </c>
      <c r="O22" s="130">
        <v>5.125</v>
      </c>
      <c r="P22" s="116">
        <f t="shared" si="4"/>
        <v>1.0295125629663366</v>
      </c>
      <c r="Q22" s="153"/>
      <c r="R22" s="117"/>
      <c r="S22" s="230">
        <f t="shared" si="5"/>
        <v>-538822.8996969997</v>
      </c>
      <c r="T22" s="126">
        <f>D22*(O21-O22)*1000</f>
        <v>252520.00000000006</v>
      </c>
    </row>
    <row r="23" spans="1:24" x14ac:dyDescent="0.2">
      <c r="A23" s="119">
        <v>42614</v>
      </c>
      <c r="B23" s="114">
        <v>2592</v>
      </c>
      <c r="C23" s="114">
        <v>500</v>
      </c>
      <c r="D23" s="120">
        <f t="shared" si="0"/>
        <v>-687</v>
      </c>
      <c r="E23" s="114">
        <v>63.93</v>
      </c>
      <c r="F23" s="129">
        <f t="shared" si="1"/>
        <v>9.5254411512763371E-2</v>
      </c>
      <c r="G23" s="114">
        <v>48.99</v>
      </c>
      <c r="H23" s="129">
        <f t="shared" si="2"/>
        <v>7.7887788778877809E-2</v>
      </c>
      <c r="I23" s="114">
        <v>44.57</v>
      </c>
      <c r="J23" s="123">
        <f t="shared" si="6"/>
        <v>0.69716877835132174</v>
      </c>
      <c r="K23" s="129">
        <f t="shared" si="3"/>
        <v>8.893232347911062E-2</v>
      </c>
      <c r="L23" s="114">
        <v>67.900000000000006</v>
      </c>
      <c r="M23" s="115">
        <f t="shared" si="7"/>
        <v>4.7238342124999999</v>
      </c>
      <c r="N23" s="115">
        <f t="shared" si="8"/>
        <v>4.4105609225000002</v>
      </c>
      <c r="O23" s="26">
        <v>3.9</v>
      </c>
      <c r="P23" s="116">
        <f t="shared" si="4"/>
        <v>0.82560052376097226</v>
      </c>
      <c r="Q23" s="26">
        <v>4.5999999999999996</v>
      </c>
      <c r="R23" s="117">
        <f>Q23/N23</f>
        <v>1.0429512438052031</v>
      </c>
      <c r="S23" s="230">
        <f t="shared" ref="S23:S27" si="10">(N23-O23)*B23*1000</f>
        <v>1323373.9111200008</v>
      </c>
      <c r="T23" s="126"/>
      <c r="U23" s="131" t="s">
        <v>504</v>
      </c>
    </row>
    <row r="24" spans="1:24" x14ac:dyDescent="0.2">
      <c r="A24" s="119">
        <v>42583</v>
      </c>
      <c r="B24" s="120">
        <v>2852</v>
      </c>
      <c r="C24" s="120">
        <v>4500</v>
      </c>
      <c r="D24" s="120">
        <f t="shared" si="0"/>
        <v>1908</v>
      </c>
      <c r="E24" s="114">
        <v>58.37</v>
      </c>
      <c r="F24" s="129">
        <f t="shared" si="1"/>
        <v>0.10132075471698099</v>
      </c>
      <c r="G24" s="114">
        <v>45.45</v>
      </c>
      <c r="H24" s="129">
        <f t="shared" si="2"/>
        <v>8.1113225499524377E-2</v>
      </c>
      <c r="I24" s="114">
        <v>40.93</v>
      </c>
      <c r="J24" s="123">
        <f t="shared" si="6"/>
        <v>0.70121637827651195</v>
      </c>
      <c r="K24" s="129">
        <f t="shared" si="3"/>
        <v>9.3507881378573243E-2</v>
      </c>
      <c r="L24" s="114">
        <v>67.75</v>
      </c>
      <c r="M24" s="115">
        <f t="shared" si="7"/>
        <v>4.5099450656000002</v>
      </c>
      <c r="N24" s="115">
        <f t="shared" si="8"/>
        <v>4.1884061401999997</v>
      </c>
      <c r="O24" s="26">
        <v>3.9</v>
      </c>
      <c r="P24" s="116">
        <f t="shared" si="4"/>
        <v>0.86475554430753276</v>
      </c>
      <c r="Q24" s="26">
        <v>4.5999999999999996</v>
      </c>
      <c r="R24" s="117">
        <f>Q24/N24</f>
        <v>1.0982698062276133</v>
      </c>
      <c r="S24" s="230">
        <f t="shared" si="10"/>
        <v>822534.31185039936</v>
      </c>
      <c r="T24" s="126"/>
      <c r="U24" s="131" t="s">
        <v>504</v>
      </c>
    </row>
    <row r="25" spans="1:24" x14ac:dyDescent="0.2">
      <c r="A25" s="119">
        <v>42552</v>
      </c>
      <c r="B25" s="120">
        <v>2978</v>
      </c>
      <c r="C25" s="120">
        <v>2738</v>
      </c>
      <c r="D25" s="120">
        <f t="shared" si="0"/>
        <v>-114</v>
      </c>
      <c r="E25" s="114">
        <v>53</v>
      </c>
      <c r="F25" s="129">
        <f t="shared" si="1"/>
        <v>2.2968538892105705E-2</v>
      </c>
      <c r="G25" s="114">
        <v>42.04</v>
      </c>
      <c r="H25" s="129">
        <f t="shared" si="2"/>
        <v>1.8410852713178327E-2</v>
      </c>
      <c r="I25" s="114">
        <v>37.43</v>
      </c>
      <c r="J25" s="123">
        <f t="shared" si="6"/>
        <v>0.70622641509433959</v>
      </c>
      <c r="K25" s="129">
        <f t="shared" si="3"/>
        <v>2.1282401091405223E-2</v>
      </c>
      <c r="L25" s="132">
        <v>68.180000000000007</v>
      </c>
      <c r="M25" s="115">
        <f t="shared" si="7"/>
        <v>4.456679297</v>
      </c>
      <c r="N25" s="115">
        <f t="shared" si="8"/>
        <v>4.1337690912499996</v>
      </c>
      <c r="O25" s="26">
        <v>3.9</v>
      </c>
      <c r="P25" s="116">
        <f t="shared" si="4"/>
        <v>0.87509101285911983</v>
      </c>
      <c r="Q25" s="26">
        <v>4.5999999999999996</v>
      </c>
      <c r="R25" s="117">
        <f>Q25/N25</f>
        <v>1.1127859100153603</v>
      </c>
      <c r="S25" s="230">
        <f t="shared" si="10"/>
        <v>696164.35374249902</v>
      </c>
      <c r="T25" s="126"/>
      <c r="U25" s="131" t="s">
        <v>504</v>
      </c>
    </row>
    <row r="26" spans="1:24" x14ac:dyDescent="0.2">
      <c r="A26" s="119">
        <v>42522</v>
      </c>
      <c r="B26" s="120">
        <v>2283.63</v>
      </c>
      <c r="C26" s="120">
        <v>1000</v>
      </c>
      <c r="D26" s="120">
        <f t="shared" si="0"/>
        <v>-1978</v>
      </c>
      <c r="E26" s="114">
        <v>51.81</v>
      </c>
      <c r="F26" s="129">
        <f t="shared" si="1"/>
        <v>1.1914062500000044E-2</v>
      </c>
      <c r="G26" s="114">
        <v>41.28</v>
      </c>
      <c r="H26" s="129">
        <f t="shared" si="2"/>
        <v>9.5377842993396023E-3</v>
      </c>
      <c r="I26" s="114">
        <v>36.65</v>
      </c>
      <c r="J26" s="123">
        <f t="shared" si="6"/>
        <v>0.70739239529048437</v>
      </c>
      <c r="K26" s="129">
        <f t="shared" si="3"/>
        <v>1.1034482758620623E-2</v>
      </c>
      <c r="L26" s="132">
        <f>(68.3+68.05)/2</f>
        <v>68.174999999999997</v>
      </c>
      <c r="M26" s="115">
        <f t="shared" si="7"/>
        <v>4.4001329719999998</v>
      </c>
      <c r="N26" s="115">
        <f t="shared" si="8"/>
        <v>4.0792546999999999</v>
      </c>
      <c r="O26" s="26">
        <v>3.9</v>
      </c>
      <c r="P26" s="116">
        <f t="shared" si="4"/>
        <v>0.88633685045825472</v>
      </c>
      <c r="Q26" s="26">
        <v>4.5999999999999996</v>
      </c>
      <c r="R26" s="117">
        <f>Q26/N26</f>
        <v>1.1276569712599704</v>
      </c>
      <c r="S26" s="230">
        <f t="shared" si="10"/>
        <v>409351.410561</v>
      </c>
      <c r="T26" s="126"/>
      <c r="U26" s="131" t="s">
        <v>504</v>
      </c>
    </row>
    <row r="27" spans="1:24" x14ac:dyDescent="0.2">
      <c r="A27" s="119">
        <v>42491</v>
      </c>
      <c r="B27" s="120">
        <v>2273.0416600000003</v>
      </c>
      <c r="C27" s="120">
        <v>3000</v>
      </c>
      <c r="D27" s="120">
        <f t="shared" si="0"/>
        <v>716.36999999999989</v>
      </c>
      <c r="E27" s="114">
        <v>51.2</v>
      </c>
      <c r="F27" s="129">
        <f t="shared" si="1"/>
        <v>-2.1406727828746086E-2</v>
      </c>
      <c r="G27" s="114">
        <v>40.89</v>
      </c>
      <c r="H27" s="129">
        <f t="shared" si="2"/>
        <v>-1.7067307692307687E-2</v>
      </c>
      <c r="I27" s="133">
        <v>36.25</v>
      </c>
      <c r="J27" s="123">
        <f t="shared" si="6"/>
        <v>0.7080078125</v>
      </c>
      <c r="K27" s="129">
        <f t="shared" si="3"/>
        <v>-1.9740400216333054E-2</v>
      </c>
      <c r="L27" s="132">
        <f>(67.15+68.05)/2</f>
        <v>67.599999999999994</v>
      </c>
      <c r="M27" s="115">
        <f t="shared" si="7"/>
        <v>4.4285273600000004</v>
      </c>
      <c r="N27" s="115">
        <f t="shared" si="8"/>
        <v>4.1109226879999996</v>
      </c>
      <c r="O27" s="26">
        <v>3.9</v>
      </c>
      <c r="P27" s="116">
        <f t="shared" si="4"/>
        <v>0.88065392464911851</v>
      </c>
      <c r="Q27" s="117"/>
      <c r="R27" s="117"/>
      <c r="S27" s="230">
        <f t="shared" si="10"/>
        <v>479436.05686318141</v>
      </c>
      <c r="T27" s="126"/>
    </row>
    <row r="28" spans="1:24" s="78" customFormat="1" x14ac:dyDescent="0.2">
      <c r="A28" s="134">
        <v>42461</v>
      </c>
      <c r="B28" s="135">
        <v>2397.6103399999997</v>
      </c>
      <c r="C28" s="135">
        <v>2500</v>
      </c>
      <c r="D28" s="120">
        <f>C28-B27</f>
        <v>226.95833999999968</v>
      </c>
      <c r="E28" s="3">
        <v>52.32</v>
      </c>
      <c r="F28" s="136">
        <f t="shared" si="1"/>
        <v>1.356063541263075E-2</v>
      </c>
      <c r="G28" s="3">
        <v>41.6</v>
      </c>
      <c r="H28" s="136">
        <f t="shared" si="2"/>
        <v>1.0689990281827155E-2</v>
      </c>
      <c r="I28" s="3">
        <v>36.979999999999997</v>
      </c>
      <c r="J28" s="137">
        <f t="shared" si="6"/>
        <v>0.70680428134556572</v>
      </c>
      <c r="K28" s="136">
        <f t="shared" si="3"/>
        <v>1.2318642211880615E-2</v>
      </c>
      <c r="L28" s="138">
        <f>(67.5+66.9)/2</f>
        <v>67.2</v>
      </c>
      <c r="M28" s="139">
        <f>((G29+9)*L29*1.023+200+550)/1000</f>
        <v>4.2252189779999991</v>
      </c>
      <c r="N28" s="139">
        <f>((I29+9)*L29*1.023+200+550)/1000</f>
        <v>3.9044401927499992</v>
      </c>
      <c r="O28" s="140">
        <v>3.9</v>
      </c>
      <c r="P28" s="141">
        <f t="shared" si="4"/>
        <v>0.92302908329879241</v>
      </c>
      <c r="Q28" s="142"/>
      <c r="R28" s="142"/>
      <c r="S28" s="230">
        <f>(N28-O28)*B28*1000</f>
        <v>10645.852048991343</v>
      </c>
      <c r="T28" s="126"/>
    </row>
    <row r="29" spans="1:24" x14ac:dyDescent="0.2">
      <c r="A29" s="119">
        <v>42430</v>
      </c>
      <c r="B29" s="120">
        <v>2528.4929999999999</v>
      </c>
      <c r="C29" s="120">
        <v>3000</v>
      </c>
      <c r="D29" s="120">
        <f t="shared" ref="D29:D35" si="11">C29-B28</f>
        <v>602.38966000000028</v>
      </c>
      <c r="E29" s="114">
        <v>51.62</v>
      </c>
      <c r="F29" s="129">
        <f t="shared" si="1"/>
        <v>1.374705420267075E-2</v>
      </c>
      <c r="G29" s="143">
        <v>41.16</v>
      </c>
      <c r="H29" s="129">
        <f t="shared" si="2"/>
        <v>1.1053795136330091E-2</v>
      </c>
      <c r="I29" s="133">
        <v>36.53</v>
      </c>
      <c r="J29" s="123">
        <f t="shared" si="6"/>
        <v>0.70767144517628833</v>
      </c>
      <c r="K29" s="129">
        <f t="shared" si="3"/>
        <v>1.2752980316052209E-2</v>
      </c>
      <c r="L29" s="132">
        <f>(68+67.45)/2</f>
        <v>67.724999999999994</v>
      </c>
      <c r="M29" s="115">
        <f>((G30+9)*L30*1.023+200+550)/1000</f>
        <v>4.2436237710000002</v>
      </c>
      <c r="N29" s="115">
        <f>((I30+9)*L30*1.023+200+550)/1000</f>
        <v>3.9175241069999998</v>
      </c>
      <c r="O29" s="26">
        <v>3.9</v>
      </c>
      <c r="P29" s="116">
        <f t="shared" si="4"/>
        <v>0.91902586337925374</v>
      </c>
      <c r="Q29" s="117"/>
      <c r="R29" s="117"/>
      <c r="S29" s="231">
        <f t="shared" ref="S29:S35" si="12">(N29-O29)*C29*1000</f>
        <v>52572.320999999531</v>
      </c>
      <c r="T29" s="118"/>
    </row>
    <row r="30" spans="1:24" x14ac:dyDescent="0.2">
      <c r="A30" s="119">
        <v>42401</v>
      </c>
      <c r="B30" s="120">
        <v>2562.7755999999999</v>
      </c>
      <c r="C30" s="120">
        <v>2977.7710000000002</v>
      </c>
      <c r="D30" s="120">
        <f t="shared" si="11"/>
        <v>449.27800000000025</v>
      </c>
      <c r="E30" s="114">
        <v>50.92</v>
      </c>
      <c r="F30" s="129">
        <f t="shared" si="1"/>
        <v>-4.2857142857142927E-2</v>
      </c>
      <c r="G30" s="114">
        <v>40.71</v>
      </c>
      <c r="H30" s="129">
        <f t="shared" si="2"/>
        <v>-3.4392789373813959E-2</v>
      </c>
      <c r="I30" s="114">
        <v>36.07</v>
      </c>
      <c r="J30" s="123">
        <f t="shared" si="6"/>
        <v>0.70836606441476824</v>
      </c>
      <c r="K30" s="129">
        <f t="shared" si="3"/>
        <v>-3.9414114513981247E-2</v>
      </c>
      <c r="L30" s="132">
        <f>(68.45+68.95)/2</f>
        <v>68.7</v>
      </c>
      <c r="M30" s="115">
        <f t="shared" ref="M30:M36" si="13">((G32+9)*L32*1.023+200+550)/1000</f>
        <v>4.2820875479999998</v>
      </c>
      <c r="N30" s="115">
        <f t="shared" ref="N30:N36" si="14">((I32+9)*L32*1.023+200+550)/1000</f>
        <v>3.9657401429999997</v>
      </c>
      <c r="O30" s="26">
        <v>3.88</v>
      </c>
      <c r="P30" s="116">
        <f t="shared" si="4"/>
        <v>0.90610011040344107</v>
      </c>
      <c r="Q30" s="117"/>
      <c r="R30" s="117"/>
      <c r="S30" s="231">
        <f t="shared" si="12"/>
        <v>255314.51136125234</v>
      </c>
      <c r="T30" s="118"/>
    </row>
    <row r="31" spans="1:24" x14ac:dyDescent="0.2">
      <c r="A31" s="119">
        <v>42370</v>
      </c>
      <c r="B31" s="120">
        <v>1539.2913999999998</v>
      </c>
      <c r="C31" s="120">
        <v>1522.229</v>
      </c>
      <c r="D31" s="120">
        <f t="shared" si="11"/>
        <v>-1040.5465999999999</v>
      </c>
      <c r="E31" s="114">
        <v>53.2</v>
      </c>
      <c r="F31" s="129">
        <f t="shared" si="1"/>
        <v>-5.793309661745405E-3</v>
      </c>
      <c r="G31" s="114">
        <v>42.16</v>
      </c>
      <c r="H31" s="129">
        <f t="shared" si="2"/>
        <v>-4.7214353163362865E-3</v>
      </c>
      <c r="I31" s="5">
        <v>37.549999999999997</v>
      </c>
      <c r="J31" s="123">
        <f t="shared" si="6"/>
        <v>0.7058270676691728</v>
      </c>
      <c r="K31" s="129">
        <f t="shared" si="3"/>
        <v>-5.5614406779661563E-3</v>
      </c>
      <c r="L31" s="132">
        <f>(67.45+68.4)/2</f>
        <v>67.925000000000011</v>
      </c>
      <c r="M31" s="115">
        <f t="shared" si="13"/>
        <v>4.2814752824999998</v>
      </c>
      <c r="N31" s="115">
        <f t="shared" si="14"/>
        <v>3.9701344394999998</v>
      </c>
      <c r="O31" s="26">
        <v>3.9</v>
      </c>
      <c r="P31" s="116">
        <f t="shared" si="4"/>
        <v>0.91090097283540727</v>
      </c>
      <c r="Q31" s="117"/>
      <c r="R31" s="117"/>
      <c r="S31" s="231">
        <f t="shared" si="12"/>
        <v>106760.67770564531</v>
      </c>
      <c r="T31" s="118"/>
      <c r="U31" s="144"/>
      <c r="V31" s="145"/>
      <c r="W31" s="145"/>
      <c r="X31" s="145"/>
    </row>
    <row r="32" spans="1:24" x14ac:dyDescent="0.2">
      <c r="A32" s="119">
        <v>42339</v>
      </c>
      <c r="B32" s="120">
        <v>2857.9540000000002</v>
      </c>
      <c r="C32" s="120">
        <v>4000</v>
      </c>
      <c r="D32" s="120">
        <f t="shared" si="11"/>
        <v>2460.7085999999999</v>
      </c>
      <c r="E32" s="114">
        <v>53.51</v>
      </c>
      <c r="F32" s="129">
        <f t="shared" si="1"/>
        <v>-1.6902443505419806E-2</v>
      </c>
      <c r="G32" s="114">
        <v>42.36</v>
      </c>
      <c r="H32" s="129">
        <f t="shared" si="2"/>
        <v>-1.3736903376018739E-2</v>
      </c>
      <c r="I32" s="5">
        <v>37.76</v>
      </c>
      <c r="J32" s="123">
        <f t="shared" si="6"/>
        <v>0.70566249299196415</v>
      </c>
      <c r="K32" s="129">
        <f t="shared" si="3"/>
        <v>-1.5897836851707092E-2</v>
      </c>
      <c r="L32" s="132">
        <f>(67.25+67.2)/2</f>
        <v>67.224999999999994</v>
      </c>
      <c r="M32" s="115">
        <f t="shared" si="13"/>
        <v>4.370726917499999</v>
      </c>
      <c r="N32" s="115">
        <f t="shared" si="14"/>
        <v>4.0660289249999995</v>
      </c>
      <c r="O32" s="26">
        <v>4.17</v>
      </c>
      <c r="P32" s="116">
        <f t="shared" si="4"/>
        <v>0.95407470626995561</v>
      </c>
      <c r="Q32" s="117"/>
      <c r="R32" s="117"/>
      <c r="S32" s="231">
        <f t="shared" si="12"/>
        <v>-415884.30000000185</v>
      </c>
      <c r="T32" s="118"/>
      <c r="U32" s="144"/>
      <c r="V32" s="145"/>
      <c r="W32" s="145"/>
      <c r="X32" s="145"/>
    </row>
    <row r="33" spans="1:24" x14ac:dyDescent="0.2">
      <c r="A33" s="146">
        <v>42309</v>
      </c>
      <c r="B33" s="120">
        <v>1546.6510000000001</v>
      </c>
      <c r="C33" s="120">
        <v>1000</v>
      </c>
      <c r="D33" s="120">
        <f t="shared" si="11"/>
        <v>-1857.9540000000002</v>
      </c>
      <c r="E33" s="5">
        <v>54.43</v>
      </c>
      <c r="F33" s="129">
        <f t="shared" si="1"/>
        <v>-5.1576929778707092E-2</v>
      </c>
      <c r="G33" s="5">
        <v>42.95</v>
      </c>
      <c r="H33" s="129">
        <f t="shared" si="2"/>
        <v>-4.1936203435199548E-2</v>
      </c>
      <c r="I33" s="5">
        <v>38.369999999999997</v>
      </c>
      <c r="J33" s="123">
        <f t="shared" si="6"/>
        <v>0.70494212750321505</v>
      </c>
      <c r="K33" s="129">
        <f t="shared" si="3"/>
        <v>-4.7890818858560835E-2</v>
      </c>
      <c r="L33" s="132">
        <f>(66.2+66.7)/2</f>
        <v>66.45</v>
      </c>
      <c r="M33" s="115">
        <f t="shared" si="13"/>
        <v>4.389272884244547</v>
      </c>
      <c r="N33" s="115">
        <f t="shared" si="14"/>
        <v>4.1628492254999987</v>
      </c>
      <c r="O33" s="26">
        <v>4.2300000000000004</v>
      </c>
      <c r="P33" s="116">
        <f t="shared" si="4"/>
        <v>0.96371315057301121</v>
      </c>
      <c r="Q33" s="117"/>
      <c r="R33" s="117"/>
      <c r="S33" s="231">
        <f t="shared" si="12"/>
        <v>-67150.774500001731</v>
      </c>
      <c r="T33" s="118"/>
      <c r="U33" s="144"/>
      <c r="V33" s="145"/>
      <c r="W33" s="145"/>
      <c r="X33" s="145"/>
    </row>
    <row r="34" spans="1:24" ht="13.5" thickBot="1" x14ac:dyDescent="0.25">
      <c r="A34" s="146">
        <v>42278</v>
      </c>
      <c r="B34" s="120">
        <v>969.97</v>
      </c>
      <c r="C34" s="120">
        <v>2000</v>
      </c>
      <c r="D34" s="120">
        <f t="shared" si="11"/>
        <v>453.34899999999993</v>
      </c>
      <c r="E34" s="5">
        <v>57.39</v>
      </c>
      <c r="F34" s="129">
        <f t="shared" si="1"/>
        <v>-1.4086926644906406E-2</v>
      </c>
      <c r="G34" s="147">
        <v>44.83</v>
      </c>
      <c r="H34" s="129">
        <f t="shared" si="2"/>
        <v>1.5725397362191362E-2</v>
      </c>
      <c r="I34" s="5">
        <v>40.299999999999997</v>
      </c>
      <c r="J34" s="123">
        <f t="shared" si="6"/>
        <v>0.7022129290817215</v>
      </c>
      <c r="K34" s="129">
        <f t="shared" si="3"/>
        <v>-1.2980651481753647E-2</v>
      </c>
      <c r="L34" s="132">
        <f>(66.15+65.35)/2</f>
        <v>65.75</v>
      </c>
      <c r="M34" s="115">
        <f t="shared" si="13"/>
        <v>4.2976799469238776</v>
      </c>
      <c r="N34" s="115">
        <f t="shared" si="14"/>
        <v>4.1186278339999989</v>
      </c>
      <c r="O34" s="26">
        <v>4.26</v>
      </c>
      <c r="P34" s="116">
        <f t="shared" si="4"/>
        <v>0.9912324911605277</v>
      </c>
      <c r="Q34" s="117"/>
      <c r="R34" s="117"/>
      <c r="S34" s="231">
        <f t="shared" si="12"/>
        <v>-282744.3320000018</v>
      </c>
      <c r="T34" s="118"/>
      <c r="U34" s="144"/>
      <c r="V34" s="145"/>
      <c r="W34" s="145"/>
      <c r="X34" s="145"/>
    </row>
    <row r="35" spans="1:24" x14ac:dyDescent="0.2">
      <c r="A35" s="146">
        <v>42248</v>
      </c>
      <c r="B35" s="120">
        <v>481</v>
      </c>
      <c r="C35" s="120">
        <v>500</v>
      </c>
      <c r="D35" s="120">
        <f t="shared" si="11"/>
        <v>-469.97</v>
      </c>
      <c r="E35" s="5">
        <v>58.21</v>
      </c>
      <c r="F35" s="148">
        <f t="shared" si="1"/>
        <v>-1.5725397362191362E-2</v>
      </c>
      <c r="G35" s="149">
        <f>G34/(1-F35)</f>
        <v>44.135944731146992</v>
      </c>
      <c r="H35" s="129">
        <f t="shared" si="2"/>
        <v>3.3806626098709103E-4</v>
      </c>
      <c r="I35" s="5">
        <v>40.83</v>
      </c>
      <c r="J35" s="123">
        <f t="shared" si="6"/>
        <v>0.70142587184332583</v>
      </c>
      <c r="K35" s="129">
        <f t="shared" si="3"/>
        <v>-1.4720077220077177E-2</v>
      </c>
      <c r="L35" s="132">
        <f>(66.85+67.05)/2</f>
        <v>66.949999999999989</v>
      </c>
      <c r="M35" s="115">
        <f t="shared" si="13"/>
        <v>4.2166980131313334</v>
      </c>
      <c r="N35" s="115">
        <f t="shared" si="14"/>
        <v>4.0620942112499998</v>
      </c>
      <c r="O35" s="26">
        <v>4.6500000000000004</v>
      </c>
      <c r="P35" s="116">
        <f t="shared" si="4"/>
        <v>1.1027586005730809</v>
      </c>
      <c r="Q35" s="117"/>
      <c r="R35" s="117"/>
      <c r="S35" s="231">
        <f t="shared" si="12"/>
        <v>-293952.89437500027</v>
      </c>
      <c r="T35" s="118"/>
      <c r="V35" s="145"/>
      <c r="W35" s="145"/>
      <c r="X35" s="145"/>
    </row>
    <row r="36" spans="1:24" x14ac:dyDescent="0.2">
      <c r="A36" s="146">
        <v>42217</v>
      </c>
      <c r="B36" s="146"/>
      <c r="C36" s="98"/>
      <c r="D36" s="98"/>
      <c r="E36" s="5">
        <v>59.14</v>
      </c>
      <c r="F36" s="148">
        <f t="shared" si="1"/>
        <v>-3.3806626098709103E-4</v>
      </c>
      <c r="G36" s="150">
        <f t="shared" ref="G36:G47" si="15">G35/(1-F36)</f>
        <v>44.12102889987591</v>
      </c>
      <c r="H36" s="129">
        <f t="shared" si="2"/>
        <v>7.2159758348717684E-3</v>
      </c>
      <c r="I36" s="5">
        <v>41.44</v>
      </c>
      <c r="J36" s="123">
        <f t="shared" si="6"/>
        <v>0.70071017923571177</v>
      </c>
      <c r="K36" s="129">
        <f t="shared" si="3"/>
        <v>-2.4125452352241616E-4</v>
      </c>
      <c r="L36" s="132">
        <f>(64.35+65.75+65.75)/3</f>
        <v>65.283333333333331</v>
      </c>
      <c r="M36" s="115">
        <f t="shared" si="13"/>
        <v>4.1733670666171436</v>
      </c>
      <c r="N36" s="115">
        <f t="shared" si="14"/>
        <v>4.1051274734999996</v>
      </c>
      <c r="O36" s="26"/>
      <c r="P36" s="26"/>
      <c r="Q36" s="40"/>
      <c r="R36" s="40"/>
    </row>
    <row r="37" spans="1:24" x14ac:dyDescent="0.2">
      <c r="A37" s="146">
        <v>42186</v>
      </c>
      <c r="B37" s="146"/>
      <c r="C37" s="98"/>
      <c r="D37" s="98"/>
      <c r="E37" s="5">
        <v>59.16</v>
      </c>
      <c r="F37" s="148">
        <f t="shared" si="1"/>
        <v>-7.2159758348717684E-3</v>
      </c>
      <c r="G37" s="150">
        <f t="shared" si="15"/>
        <v>43.804933557874129</v>
      </c>
      <c r="H37" s="129">
        <f t="shared" si="2"/>
        <v>2.4394237066142743E-2</v>
      </c>
      <c r="I37" s="5">
        <v>41.45</v>
      </c>
      <c r="J37" s="123">
        <f t="shared" si="6"/>
        <v>0.70064232589587572</v>
      </c>
      <c r="K37" s="129">
        <f t="shared" si="3"/>
        <v>-6.7098011023243309E-3</v>
      </c>
      <c r="L37" s="132">
        <f>(64.25+64.1)/2</f>
        <v>64.174999999999997</v>
      </c>
      <c r="M37" s="26"/>
      <c r="N37" s="26"/>
      <c r="O37" s="26"/>
      <c r="P37" s="26"/>
      <c r="Q37" s="40"/>
      <c r="R37" s="40"/>
    </row>
    <row r="38" spans="1:24" x14ac:dyDescent="0.2">
      <c r="A38" s="146">
        <v>42156</v>
      </c>
      <c r="B38" s="146"/>
      <c r="C38" s="98"/>
      <c r="D38" s="98"/>
      <c r="E38" s="5">
        <v>59.59</v>
      </c>
      <c r="F38" s="148">
        <f t="shared" si="1"/>
        <v>-2.4394237066142632E-2</v>
      </c>
      <c r="G38" s="150">
        <f t="shared" si="15"/>
        <v>42.76179226010791</v>
      </c>
      <c r="H38" s="129">
        <f t="shared" si="2"/>
        <v>5.2729528535980119E-2</v>
      </c>
      <c r="I38" s="5">
        <v>41.73</v>
      </c>
      <c r="J38" s="123">
        <f t="shared" si="6"/>
        <v>0.70028528276556457</v>
      </c>
      <c r="K38" s="129">
        <f t="shared" si="3"/>
        <v>-2.2945446031374495E-2</v>
      </c>
      <c r="L38" s="132">
        <f>(64.75+64.55)/2</f>
        <v>64.650000000000006</v>
      </c>
      <c r="M38" s="26"/>
      <c r="N38" s="26"/>
      <c r="O38" s="26"/>
      <c r="P38" s="26"/>
      <c r="Q38" s="40"/>
      <c r="R38" s="40"/>
    </row>
    <row r="39" spans="1:24" x14ac:dyDescent="0.2">
      <c r="A39" s="146">
        <v>42125</v>
      </c>
      <c r="B39" s="146"/>
      <c r="C39" s="98"/>
      <c r="D39" s="98"/>
      <c r="E39" s="5">
        <v>61.08</v>
      </c>
      <c r="F39" s="148">
        <f t="shared" si="1"/>
        <v>-5.272952853598023E-2</v>
      </c>
      <c r="G39" s="150">
        <f t="shared" si="15"/>
        <v>40.619922877603976</v>
      </c>
      <c r="H39" s="129">
        <f t="shared" si="2"/>
        <v>4.7140534949017265E-2</v>
      </c>
      <c r="I39" s="5">
        <v>42.71</v>
      </c>
      <c r="J39" s="123">
        <f t="shared" si="6"/>
        <v>0.69924688932547485</v>
      </c>
      <c r="K39" s="129">
        <f t="shared" si="3"/>
        <v>-4.9410193634542576E-2</v>
      </c>
      <c r="L39" s="132">
        <f>(62.95+64.35+64.3)/3</f>
        <v>63.866666666666667</v>
      </c>
      <c r="M39" s="26"/>
      <c r="N39" s="26"/>
      <c r="O39" s="26"/>
      <c r="P39" s="26"/>
      <c r="Q39" s="40"/>
      <c r="R39" s="40"/>
    </row>
    <row r="40" spans="1:24" x14ac:dyDescent="0.2">
      <c r="A40" s="146">
        <v>42095</v>
      </c>
      <c r="B40" s="146"/>
      <c r="C40" s="98"/>
      <c r="D40" s="98"/>
      <c r="E40" s="5">
        <v>64.48</v>
      </c>
      <c r="F40" s="148">
        <f t="shared" si="1"/>
        <v>-4.7140534949017265E-2</v>
      </c>
      <c r="G40" s="150">
        <f t="shared" si="15"/>
        <v>38.791281133607974</v>
      </c>
      <c r="H40" s="129">
        <f t="shared" si="2"/>
        <v>-7.5492689129052826E-2</v>
      </c>
      <c r="I40" s="5">
        <v>44.93</v>
      </c>
      <c r="J40" s="123">
        <f t="shared" si="6"/>
        <v>0.69680521091811409</v>
      </c>
      <c r="K40" s="129">
        <f t="shared" si="3"/>
        <v>-4.5666949872557372E-2</v>
      </c>
      <c r="L40" s="132">
        <f>(63.2+62.95)/2</f>
        <v>63.075000000000003</v>
      </c>
      <c r="M40" s="26"/>
      <c r="N40" s="26"/>
      <c r="O40" s="26"/>
      <c r="P40" s="26"/>
      <c r="Q40" s="40"/>
      <c r="R40" s="40"/>
    </row>
    <row r="41" spans="1:24" x14ac:dyDescent="0.2">
      <c r="A41" s="146">
        <v>42064</v>
      </c>
      <c r="B41" s="146"/>
      <c r="C41" s="98"/>
      <c r="D41" s="98"/>
      <c r="E41" s="5">
        <v>67.67</v>
      </c>
      <c r="F41" s="148">
        <f t="shared" si="1"/>
        <v>7.5492689129052826E-2</v>
      </c>
      <c r="G41" s="150">
        <f t="shared" si="15"/>
        <v>41.958868986188996</v>
      </c>
      <c r="H41" s="129">
        <f t="shared" si="2"/>
        <v>1.4411027568922208E-2</v>
      </c>
      <c r="I41" s="5">
        <v>47.08</v>
      </c>
      <c r="J41" s="123">
        <f t="shared" si="6"/>
        <v>0.69572927441997923</v>
      </c>
      <c r="K41" s="129">
        <f t="shared" si="3"/>
        <v>7.2193122295604706E-2</v>
      </c>
      <c r="L41" s="132">
        <f>(62.8+63)/2</f>
        <v>62.9</v>
      </c>
      <c r="M41" s="26"/>
      <c r="N41" s="26"/>
      <c r="O41" s="26"/>
      <c r="P41" s="26"/>
      <c r="Q41" s="40"/>
      <c r="R41" s="40"/>
    </row>
    <row r="42" spans="1:24" x14ac:dyDescent="0.2">
      <c r="A42" s="146">
        <v>42036</v>
      </c>
      <c r="B42" s="146"/>
      <c r="C42" s="98"/>
      <c r="D42" s="98"/>
      <c r="E42" s="5">
        <v>62.92</v>
      </c>
      <c r="F42" s="148">
        <f t="shared" si="1"/>
        <v>-1.4411027568922319E-2</v>
      </c>
      <c r="G42" s="150">
        <f t="shared" si="15"/>
        <v>41.362788697935542</v>
      </c>
      <c r="H42" s="129">
        <f t="shared" si="2"/>
        <v>1.2529002320185612E-2</v>
      </c>
      <c r="I42" s="5">
        <v>43.91</v>
      </c>
      <c r="J42" s="123">
        <f t="shared" si="6"/>
        <v>0.69787031150667511</v>
      </c>
      <c r="K42" s="129">
        <f t="shared" si="3"/>
        <v>-1.3480116827679245E-2</v>
      </c>
      <c r="L42" s="132">
        <f>(62.45+62.8)/2</f>
        <v>62.625</v>
      </c>
      <c r="M42" s="26"/>
      <c r="N42" s="26"/>
      <c r="O42" s="26"/>
      <c r="P42" s="26"/>
      <c r="Q42" s="40"/>
      <c r="R42" s="40"/>
    </row>
    <row r="43" spans="1:24" x14ac:dyDescent="0.2">
      <c r="A43" s="146">
        <v>42005</v>
      </c>
      <c r="B43" s="146"/>
      <c r="C43" s="98"/>
      <c r="D43" s="98"/>
      <c r="E43" s="5">
        <v>63.84</v>
      </c>
      <c r="F43" s="148">
        <f t="shared" si="1"/>
        <v>-1.2529002320185612E-2</v>
      </c>
      <c r="G43" s="150">
        <f t="shared" si="15"/>
        <v>40.850966839620114</v>
      </c>
      <c r="H43" s="129">
        <f t="shared" si="2"/>
        <v>1.5981735159817267E-2</v>
      </c>
      <c r="I43" s="5">
        <v>44.51</v>
      </c>
      <c r="J43" s="123">
        <f t="shared" si="6"/>
        <v>0.69721177944862145</v>
      </c>
      <c r="K43" s="129">
        <f t="shared" si="3"/>
        <v>-1.1767317939609279E-2</v>
      </c>
      <c r="L43" s="132">
        <f>(63.8+62.3+62.3)/3</f>
        <v>62.79999999999999</v>
      </c>
      <c r="M43" s="26"/>
      <c r="N43" s="26"/>
      <c r="O43" s="26"/>
      <c r="P43" s="26"/>
      <c r="Q43" s="40"/>
      <c r="R43" s="40"/>
    </row>
    <row r="44" spans="1:24" x14ac:dyDescent="0.2">
      <c r="A44" s="146">
        <v>41974</v>
      </c>
      <c r="B44" s="146"/>
      <c r="C44" s="98"/>
      <c r="D44" s="98"/>
      <c r="E44" s="5">
        <v>64.650000000000006</v>
      </c>
      <c r="F44" s="148">
        <f t="shared" si="1"/>
        <v>-1.5981735159817267E-2</v>
      </c>
      <c r="G44" s="150">
        <f t="shared" si="15"/>
        <v>40.208367361244072</v>
      </c>
      <c r="H44" s="129">
        <f t="shared" si="2"/>
        <v>2.3193577163246992E-2</v>
      </c>
      <c r="I44" s="5">
        <v>45.04</v>
      </c>
      <c r="J44" s="123">
        <f t="shared" si="6"/>
        <v>0.69667440061871611</v>
      </c>
      <c r="K44" s="129">
        <f t="shared" si="3"/>
        <v>-1.5088563306363434E-2</v>
      </c>
      <c r="L44" s="132">
        <f>(62.5+63.85)/2</f>
        <v>63.174999999999997</v>
      </c>
      <c r="M44" s="26"/>
      <c r="N44" s="26"/>
      <c r="O44" s="26"/>
      <c r="P44" s="26"/>
      <c r="Q44" s="40"/>
      <c r="R44" s="40"/>
    </row>
    <row r="45" spans="1:24" x14ac:dyDescent="0.2">
      <c r="A45" s="146">
        <v>41944</v>
      </c>
      <c r="B45" s="146"/>
      <c r="C45" s="98"/>
      <c r="D45" s="98"/>
      <c r="E45" s="5">
        <v>65.7</v>
      </c>
      <c r="F45" s="148">
        <f t="shared" si="1"/>
        <v>-2.3193577163247103E-2</v>
      </c>
      <c r="G45" s="150">
        <f t="shared" si="15"/>
        <v>39.296930960727643</v>
      </c>
      <c r="H45" s="129">
        <f t="shared" si="2"/>
        <v>3.4868704261730388E-2</v>
      </c>
      <c r="I45" s="5">
        <v>45.73</v>
      </c>
      <c r="J45" s="123">
        <f t="shared" si="6"/>
        <v>0.6960426179604261</v>
      </c>
      <c r="K45" s="129">
        <f t="shared" si="3"/>
        <v>-2.1818181818181848E-2</v>
      </c>
      <c r="L45" s="132">
        <f>(61.9+62.6)/2</f>
        <v>62.25</v>
      </c>
      <c r="M45" s="26"/>
      <c r="N45" s="26"/>
      <c r="O45" s="26"/>
      <c r="P45" s="26"/>
      <c r="Q45" s="40"/>
      <c r="R45" s="40"/>
    </row>
    <row r="46" spans="1:24" x14ac:dyDescent="0.2">
      <c r="A46" s="146">
        <v>41913</v>
      </c>
      <c r="B46" s="146"/>
      <c r="C46" s="98"/>
      <c r="D46" s="98"/>
      <c r="E46" s="5">
        <v>67.260000000000005</v>
      </c>
      <c r="F46" s="148">
        <f t="shared" si="1"/>
        <v>-3.4868704261730388E-2</v>
      </c>
      <c r="G46" s="150">
        <f t="shared" si="15"/>
        <v>37.972866315212279</v>
      </c>
      <c r="H46" s="129">
        <f t="shared" si="2"/>
        <v>0</v>
      </c>
      <c r="I46" s="5">
        <v>46.75</v>
      </c>
      <c r="J46" s="123">
        <f t="shared" si="6"/>
        <v>0.69506393101397557</v>
      </c>
      <c r="K46" s="129">
        <f t="shared" si="3"/>
        <v>-3.2691909786881856E-2</v>
      </c>
      <c r="L46" s="132">
        <f>(62.3+62.05)/2</f>
        <v>62.174999999999997</v>
      </c>
      <c r="M46" s="26"/>
      <c r="N46" s="26"/>
      <c r="O46" s="26"/>
      <c r="P46" s="26"/>
      <c r="Q46" s="40"/>
      <c r="R46" s="40"/>
    </row>
    <row r="47" spans="1:24" ht="13.5" thickBot="1" x14ac:dyDescent="0.25">
      <c r="A47" s="146">
        <v>41883</v>
      </c>
      <c r="B47" s="146"/>
      <c r="C47" s="146"/>
      <c r="D47" s="146"/>
      <c r="E47" s="5">
        <v>69.69</v>
      </c>
      <c r="F47" s="148"/>
      <c r="G47" s="151">
        <f t="shared" si="15"/>
        <v>37.972866315212279</v>
      </c>
      <c r="H47" s="129" t="e">
        <f t="shared" si="2"/>
        <v>#DIV/0!</v>
      </c>
      <c r="I47" s="5">
        <v>48.33</v>
      </c>
      <c r="J47" s="123">
        <f t="shared" si="6"/>
        <v>0.69349978476108476</v>
      </c>
      <c r="K47" s="129">
        <f t="shared" si="3"/>
        <v>-8.0049261083744438E-3</v>
      </c>
      <c r="L47" s="132">
        <f>(61+61.75)/2</f>
        <v>61.375</v>
      </c>
      <c r="M47" s="26"/>
      <c r="N47" s="26"/>
      <c r="O47" s="26"/>
      <c r="P47" s="26"/>
      <c r="Q47" s="40"/>
      <c r="R47" s="40"/>
    </row>
    <row r="48" spans="1:24" x14ac:dyDescent="0.2">
      <c r="A48" s="152">
        <v>41852</v>
      </c>
      <c r="B48" s="152"/>
      <c r="C48" s="152"/>
      <c r="D48" s="152"/>
      <c r="E48" s="26">
        <v>70.290000000000006</v>
      </c>
      <c r="F48" s="26"/>
      <c r="G48" s="48"/>
      <c r="H48" s="26"/>
      <c r="I48" s="5">
        <v>48.72</v>
      </c>
      <c r="J48" s="123">
        <f t="shared" si="6"/>
        <v>0.69312846777635506</v>
      </c>
      <c r="K48" s="5"/>
      <c r="L48" s="132">
        <f>(61.85+61.25)/2</f>
        <v>61.55</v>
      </c>
      <c r="M48" s="26"/>
      <c r="N48" s="26"/>
      <c r="O48" s="26"/>
      <c r="P48" s="26"/>
      <c r="Q48" s="40"/>
      <c r="R48" s="40"/>
    </row>
    <row r="49" spans="1:5" x14ac:dyDescent="0.2">
      <c r="A49" s="146">
        <v>41821</v>
      </c>
      <c r="E49" s="84">
        <v>72.45</v>
      </c>
    </row>
    <row r="50" spans="1:5" x14ac:dyDescent="0.2">
      <c r="A50" s="152">
        <v>41791</v>
      </c>
      <c r="E50" s="84">
        <v>73.64</v>
      </c>
    </row>
    <row r="51" spans="1:5" x14ac:dyDescent="0.2">
      <c r="A51" s="146">
        <v>41760</v>
      </c>
      <c r="E51" s="26">
        <v>73.599999999999994</v>
      </c>
    </row>
    <row r="52" spans="1:5" x14ac:dyDescent="0.2">
      <c r="A52" s="152">
        <v>41730</v>
      </c>
      <c r="E52" s="26">
        <v>74.81</v>
      </c>
    </row>
    <row r="53" spans="1:5" x14ac:dyDescent="0.2">
      <c r="A53" s="146">
        <v>41699</v>
      </c>
      <c r="E53" s="26">
        <v>77.010000000000005</v>
      </c>
    </row>
    <row r="54" spans="1:5" x14ac:dyDescent="0.2">
      <c r="A54" s="152">
        <v>41671</v>
      </c>
      <c r="E54" s="26">
        <v>80.44</v>
      </c>
    </row>
    <row r="55" spans="1:5" x14ac:dyDescent="0.2">
      <c r="A55" s="146">
        <v>41640</v>
      </c>
      <c r="E55" s="26">
        <v>81.900000000000006</v>
      </c>
    </row>
    <row r="56" spans="1:5" x14ac:dyDescent="0.2">
      <c r="A56" s="152">
        <v>41609</v>
      </c>
      <c r="E56" s="26">
        <v>80.31</v>
      </c>
    </row>
    <row r="57" spans="1:5" x14ac:dyDescent="0.2">
      <c r="A57" s="146">
        <v>41579</v>
      </c>
      <c r="E57" s="26">
        <v>78.13</v>
      </c>
    </row>
    <row r="58" spans="1:5" x14ac:dyDescent="0.2">
      <c r="A58" s="152">
        <v>41548</v>
      </c>
      <c r="E58" s="26">
        <v>76.61</v>
      </c>
    </row>
    <row r="59" spans="1:5" x14ac:dyDescent="0.2">
      <c r="A59" s="146">
        <v>41518</v>
      </c>
      <c r="E59" s="26">
        <v>76.89</v>
      </c>
    </row>
    <row r="60" spans="1:5" x14ac:dyDescent="0.2">
      <c r="A60" s="152">
        <v>41487</v>
      </c>
      <c r="E60" s="26">
        <v>76.7</v>
      </c>
    </row>
    <row r="61" spans="1:5" x14ac:dyDescent="0.2">
      <c r="A61" s="146">
        <v>41456</v>
      </c>
      <c r="E61" s="26">
        <v>81.69</v>
      </c>
    </row>
    <row r="62" spans="1:5" x14ac:dyDescent="0.2">
      <c r="A62" s="152">
        <v>41426</v>
      </c>
      <c r="E62" s="26">
        <v>84.87</v>
      </c>
    </row>
    <row r="63" spans="1:5" x14ac:dyDescent="0.2">
      <c r="A63" s="146">
        <v>41395</v>
      </c>
      <c r="E63" s="26">
        <v>85.33</v>
      </c>
    </row>
    <row r="64" spans="1:5" x14ac:dyDescent="0.2">
      <c r="A64" s="152">
        <v>41365</v>
      </c>
      <c r="E64" s="26">
        <v>88.56</v>
      </c>
    </row>
    <row r="65" spans="1:5" x14ac:dyDescent="0.2">
      <c r="A65" s="146">
        <v>41334</v>
      </c>
      <c r="E65" s="26">
        <v>90.09</v>
      </c>
    </row>
    <row r="66" spans="1:5" x14ac:dyDescent="0.2">
      <c r="A66" s="152">
        <v>41306</v>
      </c>
      <c r="E66" s="26">
        <v>88.35</v>
      </c>
    </row>
    <row r="67" spans="1:5" x14ac:dyDescent="0.2">
      <c r="A67" s="146">
        <v>41275</v>
      </c>
      <c r="E67" s="26">
        <v>87.55</v>
      </c>
    </row>
    <row r="68" spans="1:5" x14ac:dyDescent="0.2">
      <c r="A68" s="152">
        <v>41244</v>
      </c>
      <c r="E68" s="26">
        <v>81.75</v>
      </c>
    </row>
    <row r="69" spans="1:5" x14ac:dyDescent="0.2">
      <c r="A69" s="146">
        <v>41214</v>
      </c>
      <c r="E69" s="26">
        <v>81.44</v>
      </c>
    </row>
    <row r="70" spans="1:5" x14ac:dyDescent="0.2">
      <c r="A70" s="152">
        <v>41183</v>
      </c>
      <c r="E70" s="26">
        <v>86.04</v>
      </c>
    </row>
    <row r="71" spans="1:5" x14ac:dyDescent="0.2">
      <c r="A71" s="146">
        <v>41153</v>
      </c>
      <c r="E71" s="26">
        <v>86.21</v>
      </c>
    </row>
    <row r="72" spans="1:5" x14ac:dyDescent="0.2">
      <c r="A72" s="152">
        <v>41122</v>
      </c>
      <c r="E72" s="26">
        <v>84.65</v>
      </c>
    </row>
    <row r="73" spans="1:5" x14ac:dyDescent="0.2">
      <c r="A73" s="146">
        <v>41091</v>
      </c>
      <c r="E73" s="26">
        <v>87.56</v>
      </c>
    </row>
    <row r="74" spans="1:5" x14ac:dyDescent="0.2">
      <c r="A74" s="152">
        <v>41061</v>
      </c>
      <c r="E74" s="26">
        <v>96.65</v>
      </c>
    </row>
    <row r="75" spans="1:5" x14ac:dyDescent="0.2">
      <c r="A75" s="146">
        <v>41030</v>
      </c>
      <c r="E75" s="26">
        <v>102.21</v>
      </c>
    </row>
    <row r="76" spans="1:5" x14ac:dyDescent="0.2">
      <c r="A76" s="152">
        <v>41000</v>
      </c>
      <c r="E76" s="26">
        <v>105.61</v>
      </c>
    </row>
    <row r="77" spans="1:5" x14ac:dyDescent="0.2">
      <c r="A77" s="146">
        <v>40969</v>
      </c>
      <c r="E77" s="26">
        <v>112.87</v>
      </c>
    </row>
    <row r="78" spans="1:5" x14ac:dyDescent="0.2">
      <c r="A78" s="152">
        <v>40940</v>
      </c>
      <c r="E78" s="26">
        <v>111.58</v>
      </c>
    </row>
    <row r="79" spans="1:5" x14ac:dyDescent="0.2">
      <c r="A79" s="146">
        <v>40909</v>
      </c>
      <c r="E79" s="26">
        <v>109.29</v>
      </c>
    </row>
    <row r="80" spans="1:5" x14ac:dyDescent="0.2">
      <c r="A80" s="152">
        <v>40878</v>
      </c>
      <c r="E80" s="26">
        <v>112.67</v>
      </c>
    </row>
    <row r="81" spans="1:5" x14ac:dyDescent="0.2">
      <c r="A81" s="146">
        <v>40848</v>
      </c>
      <c r="E81" s="26">
        <v>116.65</v>
      </c>
    </row>
    <row r="82" spans="1:5" x14ac:dyDescent="0.2">
      <c r="A82" s="152">
        <v>40817</v>
      </c>
      <c r="E82" s="26">
        <v>119.24</v>
      </c>
    </row>
    <row r="83" spans="1:5" x14ac:dyDescent="0.2">
      <c r="A83" s="146">
        <v>40787</v>
      </c>
      <c r="E83" s="26">
        <v>116.26</v>
      </c>
    </row>
    <row r="84" spans="1:5" x14ac:dyDescent="0.2">
      <c r="A84" s="152">
        <v>40756</v>
      </c>
      <c r="E84" s="26">
        <v>117.21</v>
      </c>
    </row>
    <row r="85" spans="1:5" x14ac:dyDescent="0.2">
      <c r="A85" s="146">
        <v>40725</v>
      </c>
      <c r="E85" s="26">
        <v>118.24</v>
      </c>
    </row>
    <row r="86" spans="1:5" x14ac:dyDescent="0.2">
      <c r="A86" s="152">
        <v>40695</v>
      </c>
      <c r="E86" s="26">
        <v>119.03</v>
      </c>
    </row>
    <row r="87" spans="1:5" x14ac:dyDescent="0.2">
      <c r="A87" s="146">
        <v>40664</v>
      </c>
      <c r="E87" s="26">
        <v>117.61</v>
      </c>
    </row>
    <row r="88" spans="1:5" x14ac:dyDescent="0.2">
      <c r="A88" s="152">
        <v>40634</v>
      </c>
      <c r="E88" s="26">
        <v>122.02</v>
      </c>
    </row>
    <row r="89" spans="1:5" x14ac:dyDescent="0.2">
      <c r="A89" s="146">
        <v>40603</v>
      </c>
      <c r="E89" s="26">
        <v>122.43</v>
      </c>
    </row>
    <row r="90" spans="1:5" x14ac:dyDescent="0.2">
      <c r="A90" s="152">
        <v>40575</v>
      </c>
      <c r="E90" s="26">
        <v>127.05</v>
      </c>
    </row>
    <row r="91" spans="1:5" x14ac:dyDescent="0.2">
      <c r="A91" s="146">
        <v>40544</v>
      </c>
      <c r="E91" s="26">
        <v>112.4</v>
      </c>
    </row>
    <row r="92" spans="1:5" x14ac:dyDescent="0.2">
      <c r="A92" s="152">
        <v>40513</v>
      </c>
      <c r="E92" s="26">
        <v>103.41</v>
      </c>
    </row>
    <row r="93" spans="1:5" x14ac:dyDescent="0.2">
      <c r="A93" s="146">
        <v>40483</v>
      </c>
      <c r="E93" s="26">
        <v>95.51</v>
      </c>
    </row>
    <row r="94" spans="1:5" x14ac:dyDescent="0.2">
      <c r="A94" s="152">
        <v>40452</v>
      </c>
      <c r="E94" s="26">
        <v>92.68</v>
      </c>
    </row>
    <row r="95" spans="1:5" x14ac:dyDescent="0.2">
      <c r="A95" s="146">
        <v>40422</v>
      </c>
      <c r="E95" s="26">
        <v>90.05</v>
      </c>
    </row>
    <row r="96" spans="1:5" x14ac:dyDescent="0.2">
      <c r="A96" s="152">
        <v>40391</v>
      </c>
      <c r="E96" s="26">
        <v>94.86</v>
      </c>
    </row>
    <row r="97" spans="1:5" x14ac:dyDescent="0.2">
      <c r="A97" s="146">
        <v>40360</v>
      </c>
      <c r="E97" s="26">
        <v>96.65</v>
      </c>
    </row>
    <row r="98" spans="1:5" x14ac:dyDescent="0.2">
      <c r="A98" s="152">
        <v>40330</v>
      </c>
      <c r="E98" s="26">
        <v>97.22</v>
      </c>
    </row>
    <row r="99" spans="1:5" x14ac:dyDescent="0.2">
      <c r="A99" s="146">
        <v>40299</v>
      </c>
      <c r="E99" s="26">
        <v>92.07</v>
      </c>
    </row>
    <row r="100" spans="1:5" x14ac:dyDescent="0.2">
      <c r="A100" s="152">
        <v>40269</v>
      </c>
      <c r="E100" s="26">
        <v>86.5</v>
      </c>
    </row>
    <row r="101" spans="1:5" x14ac:dyDescent="0.2">
      <c r="A101" s="146">
        <v>40238</v>
      </c>
      <c r="E101" s="26">
        <v>86.64</v>
      </c>
    </row>
    <row r="102" spans="1:5" x14ac:dyDescent="0.2">
      <c r="A102" s="152">
        <v>40210</v>
      </c>
      <c r="E102" s="26">
        <v>87.81</v>
      </c>
    </row>
    <row r="103" spans="1:5" x14ac:dyDescent="0.2">
      <c r="A103" s="146">
        <v>40179</v>
      </c>
      <c r="E103" s="26">
        <v>77.39</v>
      </c>
    </row>
    <row r="104" spans="1:5" x14ac:dyDescent="0.2">
      <c r="A104" s="152">
        <v>40148</v>
      </c>
      <c r="E104" s="26">
        <v>74.510000000000005</v>
      </c>
    </row>
    <row r="105" spans="1:5" x14ac:dyDescent="0.2">
      <c r="A105" s="146">
        <v>40118</v>
      </c>
      <c r="E105" s="26">
        <v>68.989999999999995</v>
      </c>
    </row>
    <row r="106" spans="1:5" x14ac:dyDescent="0.2">
      <c r="A106" s="152">
        <v>40087</v>
      </c>
      <c r="E106" s="26">
        <v>66.709999999999994</v>
      </c>
    </row>
    <row r="107" spans="1:5" x14ac:dyDescent="0.2">
      <c r="A107" s="146">
        <v>40057</v>
      </c>
      <c r="E107" s="26">
        <v>70.44</v>
      </c>
    </row>
    <row r="108" spans="1:5" x14ac:dyDescent="0.2">
      <c r="A108" s="152">
        <v>40026</v>
      </c>
      <c r="E108" s="26">
        <v>71.47</v>
      </c>
    </row>
    <row r="109" spans="1:5" x14ac:dyDescent="0.2">
      <c r="A109" s="146">
        <v>39995</v>
      </c>
      <c r="E109" s="26">
        <v>71.290000000000006</v>
      </c>
    </row>
    <row r="110" spans="1:5" x14ac:dyDescent="0.2">
      <c r="A110" s="152">
        <v>39965</v>
      </c>
      <c r="E110" s="26">
        <v>63.87</v>
      </c>
    </row>
    <row r="111" spans="1:5" x14ac:dyDescent="0.2">
      <c r="A111" s="146">
        <v>39934</v>
      </c>
      <c r="E111" s="26">
        <v>62.83</v>
      </c>
    </row>
    <row r="112" spans="1:5" x14ac:dyDescent="0.2">
      <c r="A112" s="152">
        <v>39904</v>
      </c>
      <c r="E112" s="26">
        <v>63.08</v>
      </c>
    </row>
    <row r="113" spans="1:5" x14ac:dyDescent="0.2">
      <c r="A113" s="146">
        <v>39873</v>
      </c>
      <c r="E113" s="26">
        <v>75.11</v>
      </c>
    </row>
    <row r="114" spans="1:5" x14ac:dyDescent="0.2">
      <c r="A114" s="152">
        <v>39845</v>
      </c>
      <c r="E114" s="26">
        <v>81.349999999999994</v>
      </c>
    </row>
    <row r="115" spans="1:5" x14ac:dyDescent="0.2">
      <c r="A115" s="146">
        <v>39814</v>
      </c>
      <c r="E115" s="26">
        <v>78.7</v>
      </c>
    </row>
  </sheetData>
  <mergeCells count="6">
    <mergeCell ref="B8:D8"/>
    <mergeCell ref="B3:D3"/>
    <mergeCell ref="B4:D4"/>
    <mergeCell ref="B5:D5"/>
    <mergeCell ref="B6:D6"/>
    <mergeCell ref="B7:D7"/>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
  <sheetViews>
    <sheetView topLeftCell="A7" workbookViewId="0">
      <selection activeCell="L21" sqref="L21"/>
    </sheetView>
  </sheetViews>
  <sheetFormatPr defaultColWidth="10.5703125" defaultRowHeight="12.75" x14ac:dyDescent="0.2"/>
  <cols>
    <col min="1" max="1" width="4.5703125" style="25" customWidth="1"/>
    <col min="2" max="2" width="10.5703125" style="25"/>
    <col min="3" max="3" width="14.5703125" style="25" customWidth="1"/>
    <col min="4" max="4" width="15.28515625" style="25" customWidth="1"/>
    <col min="5" max="5" width="34.85546875" style="25" customWidth="1"/>
    <col min="6" max="6" width="10.5703125" style="25"/>
    <col min="7" max="7" width="34" style="25" customWidth="1"/>
    <col min="8" max="8" width="13.28515625" style="25" customWidth="1"/>
    <col min="9" max="11" width="10.5703125" style="25"/>
    <col min="12" max="12" width="13.7109375" style="225" customWidth="1"/>
    <col min="13" max="13" width="19.7109375" style="25" customWidth="1"/>
    <col min="14" max="14" width="10.5703125" style="25"/>
    <col min="15" max="15" width="16.5703125" style="25" customWidth="1"/>
    <col min="16" max="16" width="10.5703125" style="25"/>
    <col min="17" max="17" width="84.28515625" style="25" customWidth="1"/>
    <col min="18" max="16384" width="10.5703125" style="25"/>
  </cols>
  <sheetData>
    <row r="1" spans="1:17" ht="15.75" customHeight="1" x14ac:dyDescent="0.2">
      <c r="A1" s="154"/>
      <c r="B1" s="155"/>
      <c r="C1" s="258" t="s">
        <v>505</v>
      </c>
      <c r="D1" s="259"/>
      <c r="E1" s="259"/>
      <c r="F1" s="259"/>
      <c r="G1" s="259"/>
      <c r="H1" s="155" t="s">
        <v>506</v>
      </c>
      <c r="I1" s="155"/>
      <c r="J1" s="155"/>
      <c r="K1" s="155"/>
      <c r="L1" s="156"/>
      <c r="M1" s="157"/>
      <c r="N1" s="158"/>
      <c r="O1" s="158"/>
      <c r="P1" s="158"/>
      <c r="Q1" s="157"/>
    </row>
    <row r="2" spans="1:17" ht="45" x14ac:dyDescent="0.2">
      <c r="A2" s="159" t="s">
        <v>507</v>
      </c>
      <c r="B2" s="160" t="s">
        <v>163</v>
      </c>
      <c r="C2" s="160" t="s">
        <v>164</v>
      </c>
      <c r="D2" s="160" t="s">
        <v>78</v>
      </c>
      <c r="E2" s="161" t="s">
        <v>165</v>
      </c>
      <c r="F2" s="160" t="s">
        <v>371</v>
      </c>
      <c r="G2" s="161" t="s">
        <v>74</v>
      </c>
      <c r="H2" s="160" t="s">
        <v>508</v>
      </c>
      <c r="I2" s="160" t="s">
        <v>509</v>
      </c>
      <c r="J2" s="160" t="s">
        <v>510</v>
      </c>
      <c r="K2" s="160" t="s">
        <v>511</v>
      </c>
      <c r="L2" s="162" t="s">
        <v>167</v>
      </c>
      <c r="M2" s="161" t="s">
        <v>375</v>
      </c>
      <c r="N2" s="160" t="s">
        <v>376</v>
      </c>
      <c r="O2" s="160" t="s">
        <v>377</v>
      </c>
      <c r="P2" s="160" t="s">
        <v>378</v>
      </c>
      <c r="Q2" s="161" t="s">
        <v>169</v>
      </c>
    </row>
    <row r="3" spans="1:17" ht="25.5" x14ac:dyDescent="0.2">
      <c r="A3" s="163">
        <v>1</v>
      </c>
      <c r="B3" s="164">
        <v>42491</v>
      </c>
      <c r="C3" s="164">
        <v>42522</v>
      </c>
      <c r="D3" s="165">
        <v>203030</v>
      </c>
      <c r="E3" s="166" t="s">
        <v>512</v>
      </c>
      <c r="F3" s="167" t="s">
        <v>513</v>
      </c>
      <c r="G3" s="168" t="s">
        <v>66</v>
      </c>
      <c r="H3" s="169">
        <v>1</v>
      </c>
      <c r="I3" s="169" t="s">
        <v>514</v>
      </c>
      <c r="J3" s="169">
        <v>12500</v>
      </c>
      <c r="K3" s="169">
        <v>12500</v>
      </c>
      <c r="L3" s="170">
        <v>12500</v>
      </c>
      <c r="M3" s="171" t="s">
        <v>65</v>
      </c>
      <c r="N3" s="169" t="s">
        <v>515</v>
      </c>
      <c r="O3" s="169" t="s">
        <v>11</v>
      </c>
      <c r="P3" s="169"/>
      <c r="Q3" s="168" t="s">
        <v>516</v>
      </c>
    </row>
    <row r="4" spans="1:17" ht="15.75" x14ac:dyDescent="0.2">
      <c r="A4" s="172">
        <v>2</v>
      </c>
      <c r="B4" s="173">
        <v>42522</v>
      </c>
      <c r="C4" s="173">
        <v>42856</v>
      </c>
      <c r="D4" s="174">
        <v>201520</v>
      </c>
      <c r="E4" s="106" t="s">
        <v>517</v>
      </c>
      <c r="F4" s="155">
        <v>1001953</v>
      </c>
      <c r="G4" s="106" t="s">
        <v>15</v>
      </c>
      <c r="H4" s="175">
        <v>4380</v>
      </c>
      <c r="I4" s="175" t="s">
        <v>514</v>
      </c>
      <c r="J4" s="176">
        <v>2</v>
      </c>
      <c r="K4" s="177">
        <v>8760</v>
      </c>
      <c r="L4" s="178">
        <v>8760</v>
      </c>
      <c r="M4" s="179" t="s">
        <v>61</v>
      </c>
      <c r="N4" s="180" t="s">
        <v>518</v>
      </c>
      <c r="O4" s="155"/>
      <c r="P4" s="181"/>
      <c r="Q4" s="182" t="s">
        <v>519</v>
      </c>
    </row>
    <row r="5" spans="1:17" ht="25.5" x14ac:dyDescent="0.2">
      <c r="A5" s="172">
        <v>3</v>
      </c>
      <c r="B5" s="173">
        <v>42339</v>
      </c>
      <c r="C5" s="173" t="s">
        <v>520</v>
      </c>
      <c r="D5" s="174">
        <v>200747</v>
      </c>
      <c r="E5" s="106" t="s">
        <v>521</v>
      </c>
      <c r="F5" s="155"/>
      <c r="G5" s="183" t="s">
        <v>522</v>
      </c>
      <c r="H5" s="175">
        <v>7650</v>
      </c>
      <c r="I5" s="175" t="s">
        <v>523</v>
      </c>
      <c r="J5" s="177" t="s">
        <v>524</v>
      </c>
      <c r="K5" s="184">
        <v>281640.25</v>
      </c>
      <c r="L5" s="178">
        <v>281640.25</v>
      </c>
      <c r="M5" s="185">
        <v>3000026412</v>
      </c>
      <c r="N5" s="180"/>
      <c r="O5" s="155"/>
      <c r="P5" s="181"/>
      <c r="Q5" s="182" t="s">
        <v>525</v>
      </c>
    </row>
    <row r="6" spans="1:17" ht="15.75" x14ac:dyDescent="0.2">
      <c r="A6" s="163">
        <v>4</v>
      </c>
      <c r="B6" s="186">
        <v>42491</v>
      </c>
      <c r="C6" s="186">
        <v>42887</v>
      </c>
      <c r="D6" s="174">
        <v>401174</v>
      </c>
      <c r="E6" s="106" t="s">
        <v>526</v>
      </c>
      <c r="F6" s="167" t="s">
        <v>527</v>
      </c>
      <c r="G6" s="187" t="s">
        <v>528</v>
      </c>
      <c r="H6" s="155">
        <v>138</v>
      </c>
      <c r="I6" s="155" t="s">
        <v>514</v>
      </c>
      <c r="J6" s="155">
        <f>1000-130*4</f>
        <v>480</v>
      </c>
      <c r="K6" s="155">
        <f>J6*H6</f>
        <v>66240</v>
      </c>
      <c r="L6" s="188">
        <f>K6</f>
        <v>66240</v>
      </c>
      <c r="M6" s="185">
        <v>3000031627</v>
      </c>
      <c r="N6" s="180" t="s">
        <v>529</v>
      </c>
      <c r="O6" s="155">
        <v>3000027836</v>
      </c>
      <c r="P6" s="189" t="s">
        <v>530</v>
      </c>
      <c r="Q6" s="182" t="s">
        <v>531</v>
      </c>
    </row>
    <row r="7" spans="1:17" ht="15.75" x14ac:dyDescent="0.2">
      <c r="A7" s="172">
        <v>5</v>
      </c>
      <c r="B7" s="186">
        <v>42491</v>
      </c>
      <c r="C7" s="186">
        <v>42522</v>
      </c>
      <c r="D7" s="190">
        <v>203021</v>
      </c>
      <c r="E7" s="191" t="s">
        <v>532</v>
      </c>
      <c r="F7" s="167" t="s">
        <v>527</v>
      </c>
      <c r="G7" s="106" t="s">
        <v>528</v>
      </c>
      <c r="H7" s="155">
        <v>6</v>
      </c>
      <c r="I7" s="155" t="s">
        <v>514</v>
      </c>
      <c r="J7" s="155">
        <v>564</v>
      </c>
      <c r="K7" s="155">
        <f>J7*H7</f>
        <v>3384</v>
      </c>
      <c r="L7" s="188">
        <v>9516</v>
      </c>
      <c r="M7" s="185">
        <v>3000030689</v>
      </c>
      <c r="N7" s="155" t="s">
        <v>533</v>
      </c>
      <c r="O7" s="155">
        <v>3000027836</v>
      </c>
      <c r="P7" s="189" t="s">
        <v>530</v>
      </c>
      <c r="Q7" s="182" t="s">
        <v>534</v>
      </c>
    </row>
    <row r="8" spans="1:17" ht="25.5" x14ac:dyDescent="0.2">
      <c r="A8" s="172">
        <v>6</v>
      </c>
      <c r="B8" s="173">
        <v>42552</v>
      </c>
      <c r="C8" s="173">
        <v>42887</v>
      </c>
      <c r="D8" s="190" t="s">
        <v>535</v>
      </c>
      <c r="E8" s="192" t="s">
        <v>536</v>
      </c>
      <c r="F8" s="155"/>
      <c r="G8" s="192" t="s">
        <v>537</v>
      </c>
      <c r="H8" s="175" t="s">
        <v>538</v>
      </c>
      <c r="I8" s="193">
        <v>300000</v>
      </c>
      <c r="J8" s="194"/>
      <c r="K8" s="194"/>
      <c r="L8" s="195">
        <v>467000</v>
      </c>
      <c r="M8" s="154"/>
      <c r="N8" s="154"/>
      <c r="O8" s="154"/>
      <c r="P8" s="196"/>
      <c r="Q8" s="182" t="s">
        <v>539</v>
      </c>
    </row>
    <row r="9" spans="1:17" ht="15.75" x14ac:dyDescent="0.2">
      <c r="A9" s="172">
        <v>7</v>
      </c>
      <c r="B9" s="226">
        <v>42370</v>
      </c>
      <c r="C9" s="226">
        <v>42705</v>
      </c>
      <c r="D9" s="190">
        <v>201311</v>
      </c>
      <c r="E9" s="192" t="s">
        <v>540</v>
      </c>
      <c r="F9" s="155"/>
      <c r="G9" s="192" t="s">
        <v>16</v>
      </c>
      <c r="H9" s="227">
        <v>124173</v>
      </c>
      <c r="I9" s="227">
        <v>124173</v>
      </c>
      <c r="J9" s="197">
        <v>4.46</v>
      </c>
      <c r="K9" s="198">
        <f>J9*I9</f>
        <v>553811.57999999996</v>
      </c>
      <c r="L9" s="178">
        <f>K9</f>
        <v>553811.57999999996</v>
      </c>
      <c r="M9" s="154"/>
      <c r="N9" s="154"/>
      <c r="O9" s="154"/>
      <c r="P9" s="196"/>
      <c r="Q9" s="182" t="s">
        <v>541</v>
      </c>
    </row>
    <row r="10" spans="1:17" ht="25.5" x14ac:dyDescent="0.2">
      <c r="A10" s="199">
        <v>8</v>
      </c>
      <c r="B10" s="200">
        <v>42552</v>
      </c>
      <c r="C10" s="200">
        <v>42887</v>
      </c>
      <c r="D10" s="174">
        <v>203129</v>
      </c>
      <c r="E10" s="201" t="s">
        <v>542</v>
      </c>
      <c r="F10" s="202" t="s">
        <v>543</v>
      </c>
      <c r="G10" s="201" t="s">
        <v>10</v>
      </c>
      <c r="H10" s="197">
        <v>51592</v>
      </c>
      <c r="I10" s="203" t="s">
        <v>544</v>
      </c>
      <c r="J10" s="197">
        <v>0.75</v>
      </c>
      <c r="K10" s="197">
        <f>J10*H10</f>
        <v>38694</v>
      </c>
      <c r="L10" s="178">
        <f>K10</f>
        <v>38694</v>
      </c>
      <c r="M10" s="204"/>
      <c r="N10" s="155"/>
      <c r="O10" s="205"/>
      <c r="P10" s="204"/>
      <c r="Q10" s="206" t="s">
        <v>545</v>
      </c>
    </row>
    <row r="11" spans="1:17" ht="15.75" x14ac:dyDescent="0.2">
      <c r="A11" s="172">
        <v>9</v>
      </c>
      <c r="B11" s="173" t="s">
        <v>546</v>
      </c>
      <c r="C11" s="173" t="s">
        <v>547</v>
      </c>
      <c r="D11" s="190">
        <v>203218</v>
      </c>
      <c r="E11" s="207" t="s">
        <v>548</v>
      </c>
      <c r="F11" s="202" t="s">
        <v>549</v>
      </c>
      <c r="G11" s="207" t="s">
        <v>550</v>
      </c>
      <c r="H11" s="203">
        <v>56000</v>
      </c>
      <c r="I11" s="154">
        <v>400</v>
      </c>
      <c r="J11" s="154">
        <v>140</v>
      </c>
      <c r="K11" s="154">
        <v>56000</v>
      </c>
      <c r="L11" s="188">
        <v>56000</v>
      </c>
      <c r="M11" s="154">
        <v>3000035407</v>
      </c>
      <c r="N11" s="154" t="s">
        <v>551</v>
      </c>
      <c r="O11" s="208">
        <v>3000024778</v>
      </c>
      <c r="P11" s="154" t="s">
        <v>552</v>
      </c>
      <c r="Q11" s="182" t="s">
        <v>553</v>
      </c>
    </row>
    <row r="12" spans="1:17" ht="15.75" x14ac:dyDescent="0.2">
      <c r="A12" s="172">
        <v>10</v>
      </c>
      <c r="B12" s="200" t="s">
        <v>546</v>
      </c>
      <c r="C12" s="200">
        <v>42659</v>
      </c>
      <c r="D12" s="174"/>
      <c r="E12" s="201" t="s">
        <v>554</v>
      </c>
      <c r="F12" s="202"/>
      <c r="G12" s="201" t="s">
        <v>555</v>
      </c>
      <c r="H12" s="209">
        <v>260000</v>
      </c>
      <c r="I12" s="205"/>
      <c r="J12" s="205"/>
      <c r="K12" s="205"/>
      <c r="L12" s="188">
        <v>260000</v>
      </c>
      <c r="M12" s="204"/>
      <c r="N12" s="155"/>
      <c r="O12" s="205"/>
      <c r="P12" s="204"/>
      <c r="Q12" s="206" t="s">
        <v>556</v>
      </c>
    </row>
    <row r="13" spans="1:17" ht="15.75" x14ac:dyDescent="0.2">
      <c r="A13" s="163">
        <v>11</v>
      </c>
      <c r="B13" s="210" t="s">
        <v>557</v>
      </c>
      <c r="C13" s="210" t="s">
        <v>558</v>
      </c>
      <c r="D13" s="174">
        <v>203217</v>
      </c>
      <c r="E13" s="211" t="s">
        <v>559</v>
      </c>
      <c r="F13" s="212" t="s">
        <v>560</v>
      </c>
      <c r="G13" s="211" t="s">
        <v>561</v>
      </c>
      <c r="H13" s="213">
        <v>2400</v>
      </c>
      <c r="I13" s="214"/>
      <c r="J13" s="215">
        <v>36</v>
      </c>
      <c r="K13" s="214">
        <f>J13*H13</f>
        <v>86400</v>
      </c>
      <c r="L13" s="216">
        <f>K13</f>
        <v>86400</v>
      </c>
      <c r="M13" s="26"/>
      <c r="N13" s="26"/>
      <c r="O13" s="26"/>
      <c r="P13" s="26"/>
      <c r="Q13" s="211" t="s">
        <v>562</v>
      </c>
    </row>
    <row r="14" spans="1:17" ht="15.75" x14ac:dyDescent="0.2">
      <c r="A14" s="163"/>
      <c r="B14" s="210"/>
      <c r="C14" s="210"/>
      <c r="D14" s="174"/>
      <c r="E14" s="211"/>
      <c r="F14" s="212" t="s">
        <v>563</v>
      </c>
      <c r="G14" s="211" t="s">
        <v>564</v>
      </c>
      <c r="H14" s="213">
        <v>2069</v>
      </c>
      <c r="I14" s="214"/>
      <c r="J14" s="215">
        <v>120</v>
      </c>
      <c r="K14" s="214">
        <f>H14*J14</f>
        <v>248280</v>
      </c>
      <c r="L14" s="216">
        <f>K14</f>
        <v>248280</v>
      </c>
      <c r="M14" s="26"/>
      <c r="N14" s="26"/>
      <c r="O14" s="26"/>
      <c r="P14" s="26"/>
      <c r="Q14" s="211"/>
    </row>
    <row r="15" spans="1:17" ht="15.75" x14ac:dyDescent="0.2">
      <c r="A15" s="163"/>
      <c r="B15" s="210"/>
      <c r="C15" s="210"/>
      <c r="D15" s="174"/>
      <c r="E15" s="211"/>
      <c r="F15" s="212" t="s">
        <v>565</v>
      </c>
      <c r="G15" s="211" t="s">
        <v>566</v>
      </c>
      <c r="H15" s="213">
        <v>640</v>
      </c>
      <c r="I15" s="214"/>
      <c r="J15" s="215">
        <v>15</v>
      </c>
      <c r="K15" s="214">
        <f>H15*J15</f>
        <v>9600</v>
      </c>
      <c r="L15" s="216">
        <f>K15</f>
        <v>9600</v>
      </c>
      <c r="M15" s="26"/>
      <c r="N15" s="26"/>
      <c r="O15" s="26"/>
      <c r="P15" s="26"/>
      <c r="Q15" s="211"/>
    </row>
    <row r="16" spans="1:17" ht="15.75" x14ac:dyDescent="0.2">
      <c r="A16" s="172">
        <v>12</v>
      </c>
      <c r="B16" s="173" t="s">
        <v>546</v>
      </c>
      <c r="C16" s="173" t="s">
        <v>558</v>
      </c>
      <c r="D16" s="202" t="s">
        <v>567</v>
      </c>
      <c r="E16" s="201" t="s">
        <v>568</v>
      </c>
      <c r="F16" s="212" t="s">
        <v>569</v>
      </c>
      <c r="G16" s="212" t="s">
        <v>42</v>
      </c>
      <c r="H16" s="203">
        <v>2</v>
      </c>
      <c r="I16" s="217">
        <v>2</v>
      </c>
      <c r="J16" s="26">
        <v>11000</v>
      </c>
      <c r="K16" s="26">
        <f>J16*I16</f>
        <v>22000</v>
      </c>
      <c r="L16" s="218">
        <v>22000</v>
      </c>
      <c r="M16" s="26"/>
      <c r="N16" s="26"/>
      <c r="O16" s="26"/>
      <c r="P16" s="26"/>
      <c r="Q16" s="219" t="s">
        <v>570</v>
      </c>
    </row>
    <row r="17" spans="1:17" x14ac:dyDescent="0.2">
      <c r="A17" s="197">
        <v>13</v>
      </c>
      <c r="B17" s="220">
        <v>42491</v>
      </c>
      <c r="C17" s="221" t="s">
        <v>571</v>
      </c>
      <c r="D17" s="26"/>
      <c r="E17" s="26"/>
      <c r="F17" s="26"/>
      <c r="G17" s="26" t="s">
        <v>572</v>
      </c>
      <c r="H17" s="214">
        <v>138</v>
      </c>
      <c r="I17" s="26"/>
      <c r="J17" s="214">
        <v>10000</v>
      </c>
      <c r="K17" s="26"/>
      <c r="L17" s="222">
        <f>J17*H17</f>
        <v>1380000</v>
      </c>
      <c r="M17" s="26"/>
      <c r="N17" s="26"/>
      <c r="O17" s="26"/>
      <c r="P17" s="26"/>
      <c r="Q17" s="26" t="s">
        <v>573</v>
      </c>
    </row>
    <row r="18" spans="1:17" x14ac:dyDescent="0.2">
      <c r="A18" s="197">
        <v>14</v>
      </c>
      <c r="B18" s="220">
        <v>42767</v>
      </c>
      <c r="C18" s="220">
        <v>43160</v>
      </c>
      <c r="D18" s="214">
        <v>203341</v>
      </c>
      <c r="E18" s="26" t="s">
        <v>574</v>
      </c>
      <c r="F18" s="26">
        <v>1002708</v>
      </c>
      <c r="G18" s="26" t="s">
        <v>14</v>
      </c>
      <c r="H18" s="214">
        <v>6</v>
      </c>
      <c r="I18" s="26"/>
      <c r="J18" s="214">
        <v>4000</v>
      </c>
      <c r="K18" s="26">
        <f>J18*H18</f>
        <v>24000</v>
      </c>
      <c r="L18" s="222">
        <f>K18</f>
        <v>24000</v>
      </c>
      <c r="M18" s="26"/>
      <c r="N18" s="26"/>
      <c r="O18" s="26"/>
      <c r="P18" s="26"/>
      <c r="Q18" s="26" t="s">
        <v>575</v>
      </c>
    </row>
    <row r="19" spans="1:17" ht="15.75" x14ac:dyDescent="0.2">
      <c r="K19" s="223" t="s">
        <v>77</v>
      </c>
      <c r="L19" s="224">
        <f>SUM(L3:L18)</f>
        <v>3524441.83</v>
      </c>
    </row>
    <row r="21" spans="1:17" x14ac:dyDescent="0.2">
      <c r="L21" s="228">
        <f>L19-L17-L9</f>
        <v>1590630.25</v>
      </c>
    </row>
  </sheetData>
  <mergeCells count="1">
    <mergeCell ref="C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V29"/>
  <sheetViews>
    <sheetView workbookViewId="0">
      <selection activeCell="P18" sqref="P18"/>
    </sheetView>
  </sheetViews>
  <sheetFormatPr defaultRowHeight="12.75" x14ac:dyDescent="0.2"/>
  <cols>
    <col min="1" max="1" width="1.42578125" customWidth="1"/>
    <col min="9" max="9" width="13.5703125" customWidth="1"/>
    <col min="10" max="10" width="3.28515625" customWidth="1"/>
    <col min="16" max="16" width="10.5703125" customWidth="1"/>
    <col min="17" max="17" width="2" customWidth="1"/>
    <col min="18" max="18" width="10.140625" customWidth="1"/>
    <col min="19" max="19" width="9.85546875" customWidth="1"/>
    <col min="20" max="20" width="7.140625" customWidth="1"/>
    <col min="21" max="21" width="7.7109375" customWidth="1"/>
    <col min="22" max="22" width="6.85546875" customWidth="1"/>
  </cols>
  <sheetData>
    <row r="2" spans="2:22" ht="15" x14ac:dyDescent="0.2">
      <c r="E2" s="232" t="s">
        <v>577</v>
      </c>
      <c r="M2" s="232" t="s">
        <v>578</v>
      </c>
    </row>
    <row r="3" spans="2:22" ht="60" x14ac:dyDescent="0.2">
      <c r="B3" s="9" t="s">
        <v>75</v>
      </c>
      <c r="C3" s="9" t="s">
        <v>579</v>
      </c>
      <c r="D3" s="9" t="s">
        <v>580</v>
      </c>
      <c r="E3" s="9" t="s">
        <v>581</v>
      </c>
      <c r="F3" s="9" t="s">
        <v>582</v>
      </c>
      <c r="G3" s="9" t="s">
        <v>583</v>
      </c>
      <c r="H3" s="9" t="s">
        <v>584</v>
      </c>
      <c r="I3" s="9" t="s">
        <v>585</v>
      </c>
      <c r="K3" s="9" t="s">
        <v>579</v>
      </c>
      <c r="L3" s="9" t="s">
        <v>580</v>
      </c>
      <c r="M3" s="9" t="s">
        <v>581</v>
      </c>
      <c r="N3" s="9" t="s">
        <v>582</v>
      </c>
      <c r="O3" s="9" t="s">
        <v>583</v>
      </c>
      <c r="P3" s="9" t="s">
        <v>586</v>
      </c>
      <c r="R3" s="9" t="s">
        <v>584</v>
      </c>
      <c r="S3" s="233" t="s">
        <v>587</v>
      </c>
      <c r="T3" s="234"/>
      <c r="U3" s="234"/>
      <c r="V3" s="234"/>
    </row>
    <row r="4" spans="2:22" ht="15" x14ac:dyDescent="0.2">
      <c r="B4" s="5" t="s">
        <v>8</v>
      </c>
      <c r="C4" s="98">
        <v>615</v>
      </c>
      <c r="D4" s="98">
        <v>218</v>
      </c>
      <c r="E4" s="98">
        <v>867</v>
      </c>
      <c r="F4" s="98">
        <v>1700</v>
      </c>
      <c r="G4" s="235">
        <f>E4/F4</f>
        <v>0.51</v>
      </c>
      <c r="H4" s="236">
        <f>1-G4</f>
        <v>0.49</v>
      </c>
      <c r="I4" s="235">
        <f>H4*1.4</f>
        <v>0.68599999999999994</v>
      </c>
      <c r="K4" s="98">
        <v>13</v>
      </c>
      <c r="L4" s="98">
        <v>29</v>
      </c>
      <c r="M4" s="98">
        <v>59</v>
      </c>
      <c r="N4" s="98">
        <v>101</v>
      </c>
      <c r="O4" s="235">
        <f>M4/N4</f>
        <v>0.58415841584158412</v>
      </c>
      <c r="P4" s="236">
        <f>1-O4</f>
        <v>0.41584158415841588</v>
      </c>
      <c r="R4" s="236">
        <v>0.49</v>
      </c>
      <c r="S4" s="237">
        <f>P4/R4-1</f>
        <v>-0.15134370579915124</v>
      </c>
      <c r="T4" s="100"/>
      <c r="U4" s="100"/>
      <c r="V4" s="100"/>
    </row>
    <row r="5" spans="2:22" ht="15" x14ac:dyDescent="0.2">
      <c r="B5" s="5" t="s">
        <v>1</v>
      </c>
      <c r="C5" s="98">
        <v>548</v>
      </c>
      <c r="D5" s="98">
        <v>574</v>
      </c>
      <c r="E5" s="98">
        <v>2188</v>
      </c>
      <c r="F5" s="98">
        <v>3310</v>
      </c>
      <c r="G5" s="235">
        <f>E5/F5</f>
        <v>0.66102719033232626</v>
      </c>
      <c r="H5" s="236">
        <f>1-G5</f>
        <v>0.33897280966767374</v>
      </c>
      <c r="I5" s="235">
        <f>H5*1.4</f>
        <v>0.47456193353474319</v>
      </c>
      <c r="K5" s="98">
        <v>183</v>
      </c>
      <c r="L5" s="98">
        <v>143</v>
      </c>
      <c r="M5" s="98">
        <v>254</v>
      </c>
      <c r="N5" s="98">
        <v>580</v>
      </c>
      <c r="O5" s="235">
        <f>M5/N5</f>
        <v>0.43793103448275861</v>
      </c>
      <c r="P5" s="236">
        <f>1-O5</f>
        <v>0.56206896551724139</v>
      </c>
      <c r="R5" s="236">
        <v>0.33897280966767374</v>
      </c>
      <c r="S5" s="237">
        <f>P5/R5-1</f>
        <v>0.65815354354908107</v>
      </c>
      <c r="T5" s="238"/>
      <c r="U5" s="239"/>
      <c r="V5" s="240"/>
    </row>
    <row r="6" spans="2:22" ht="15" x14ac:dyDescent="0.2">
      <c r="B6" s="5" t="s">
        <v>4</v>
      </c>
      <c r="C6" s="98">
        <v>1222</v>
      </c>
      <c r="D6" s="98">
        <v>640</v>
      </c>
      <c r="E6" s="98">
        <v>1976</v>
      </c>
      <c r="F6" s="98">
        <v>3838</v>
      </c>
      <c r="G6" s="235">
        <f>E6/F6</f>
        <v>0.51485148514851486</v>
      </c>
      <c r="H6" s="236">
        <f>1-G6</f>
        <v>0.48514851485148514</v>
      </c>
      <c r="I6" s="235">
        <f>H6*1.4</f>
        <v>0.67920792079207915</v>
      </c>
      <c r="K6" s="98">
        <v>404</v>
      </c>
      <c r="L6" s="98">
        <v>149</v>
      </c>
      <c r="M6" s="98">
        <v>370</v>
      </c>
      <c r="N6" s="98">
        <v>923</v>
      </c>
      <c r="O6" s="235">
        <f>M6/N6</f>
        <v>0.40086673889490793</v>
      </c>
      <c r="P6" s="236">
        <f>1-O6</f>
        <v>0.59913326110509213</v>
      </c>
      <c r="R6" s="236">
        <v>0.48514851485148514</v>
      </c>
      <c r="S6" s="237">
        <f>P6/R6-1</f>
        <v>0.23494815044110839</v>
      </c>
      <c r="T6" s="100"/>
      <c r="U6" s="100"/>
      <c r="V6" s="100"/>
    </row>
    <row r="7" spans="2:22" ht="15" x14ac:dyDescent="0.2">
      <c r="B7" s="5" t="s">
        <v>2</v>
      </c>
      <c r="C7" s="98">
        <v>98</v>
      </c>
      <c r="D7" s="98">
        <v>101</v>
      </c>
      <c r="E7" s="98">
        <v>411</v>
      </c>
      <c r="F7" s="98">
        <v>610</v>
      </c>
      <c r="G7" s="235">
        <f>E7/F7</f>
        <v>0.67377049180327864</v>
      </c>
      <c r="H7" s="236">
        <f>1-G7</f>
        <v>0.32622950819672136</v>
      </c>
      <c r="I7" s="235">
        <f>H7*1.4</f>
        <v>0.4567213114754099</v>
      </c>
      <c r="K7" s="98">
        <v>437</v>
      </c>
      <c r="L7" s="98">
        <v>130</v>
      </c>
      <c r="M7" s="98">
        <v>128</v>
      </c>
      <c r="N7" s="98">
        <v>695</v>
      </c>
      <c r="O7" s="235">
        <f>M7/N7</f>
        <v>0.1841726618705036</v>
      </c>
      <c r="P7" s="236">
        <f>1-O7</f>
        <v>0.81582733812949637</v>
      </c>
      <c r="R7" s="236">
        <v>0.32622950819672136</v>
      </c>
      <c r="S7" s="237">
        <f>P7/R7-1</f>
        <v>1.5007772676331292</v>
      </c>
      <c r="T7" s="238"/>
      <c r="U7" s="239"/>
      <c r="V7" s="240"/>
    </row>
    <row r="8" spans="2:22" ht="15" x14ac:dyDescent="0.2">
      <c r="B8" s="241" t="s">
        <v>76</v>
      </c>
      <c r="C8" s="242">
        <v>2483</v>
      </c>
      <c r="D8" s="242">
        <v>1533</v>
      </c>
      <c r="E8" s="242">
        <v>5442</v>
      </c>
      <c r="F8" s="242">
        <v>9458</v>
      </c>
      <c r="G8" s="235">
        <f>E8/F8</f>
        <v>0.5753859166842884</v>
      </c>
      <c r="H8" s="243">
        <f>1-G8</f>
        <v>0.4246140833157116</v>
      </c>
      <c r="I8" s="235">
        <f>H8*1.4</f>
        <v>0.59445971664199615</v>
      </c>
      <c r="K8" s="242">
        <v>1037</v>
      </c>
      <c r="L8" s="242">
        <v>451</v>
      </c>
      <c r="M8" s="242">
        <v>811</v>
      </c>
      <c r="N8" s="242">
        <v>2299</v>
      </c>
      <c r="O8" s="235">
        <f>M8/N8</f>
        <v>0.35276207046541974</v>
      </c>
      <c r="P8" s="236">
        <f>1-O8</f>
        <v>0.64723792953458026</v>
      </c>
      <c r="R8" s="236">
        <f>1-G8</f>
        <v>0.4246140833157116</v>
      </c>
    </row>
    <row r="9" spans="2:22" x14ac:dyDescent="0.2">
      <c r="G9" s="244"/>
      <c r="H9" s="245"/>
      <c r="I9" s="244"/>
      <c r="P9" s="245"/>
    </row>
    <row r="10" spans="2:22" ht="15" x14ac:dyDescent="0.2">
      <c r="G10" s="244"/>
      <c r="H10" s="245"/>
      <c r="I10" s="244"/>
      <c r="M10" s="232" t="s">
        <v>588</v>
      </c>
      <c r="P10" s="245"/>
    </row>
    <row r="11" spans="2:22" x14ac:dyDescent="0.2">
      <c r="G11" s="246"/>
      <c r="N11" s="247"/>
    </row>
    <row r="12" spans="2:22" ht="60" x14ac:dyDescent="0.2">
      <c r="G12" s="246"/>
      <c r="I12" s="9" t="s">
        <v>75</v>
      </c>
      <c r="K12" s="9" t="s">
        <v>579</v>
      </c>
      <c r="L12" s="9" t="s">
        <v>580</v>
      </c>
      <c r="M12" s="9" t="s">
        <v>581</v>
      </c>
      <c r="N12" s="9" t="s">
        <v>582</v>
      </c>
      <c r="O12" s="9" t="s">
        <v>583</v>
      </c>
      <c r="P12" s="9" t="s">
        <v>586</v>
      </c>
      <c r="R12" s="9" t="s">
        <v>584</v>
      </c>
      <c r="S12" s="233" t="s">
        <v>587</v>
      </c>
    </row>
    <row r="13" spans="2:22" ht="15" x14ac:dyDescent="0.2">
      <c r="I13" s="5" t="s">
        <v>8</v>
      </c>
      <c r="K13" s="98">
        <v>70</v>
      </c>
      <c r="L13" s="98">
        <v>48</v>
      </c>
      <c r="M13" s="98">
        <v>92</v>
      </c>
      <c r="N13" s="98">
        <v>210</v>
      </c>
      <c r="O13" s="235">
        <f>M13/N13</f>
        <v>0.43809523809523809</v>
      </c>
      <c r="P13" s="236">
        <f>1-O13</f>
        <v>0.56190476190476191</v>
      </c>
      <c r="R13" s="236">
        <v>0.49</v>
      </c>
      <c r="S13" s="237">
        <f>P13/R13-1</f>
        <v>0.14674441205053457</v>
      </c>
    </row>
    <row r="14" spans="2:22" ht="15" x14ac:dyDescent="0.2">
      <c r="I14" s="5" t="s">
        <v>1</v>
      </c>
      <c r="K14" s="98">
        <v>357</v>
      </c>
      <c r="L14" s="98">
        <v>238</v>
      </c>
      <c r="M14" s="98">
        <v>588</v>
      </c>
      <c r="N14" s="98">
        <v>1183</v>
      </c>
      <c r="O14" s="235">
        <f>M14/N14</f>
        <v>0.49704142011834318</v>
      </c>
      <c r="P14" s="236">
        <f>1-O14</f>
        <v>0.50295857988165682</v>
      </c>
      <c r="R14" s="236">
        <v>0.33897280966767374</v>
      </c>
      <c r="S14" s="237">
        <f>P14/R14-1</f>
        <v>0.48377263761879141</v>
      </c>
    </row>
    <row r="15" spans="2:22" ht="15" x14ac:dyDescent="0.2">
      <c r="I15" s="5" t="s">
        <v>4</v>
      </c>
      <c r="K15" s="98">
        <v>578</v>
      </c>
      <c r="L15" s="98">
        <v>224</v>
      </c>
      <c r="M15" s="98">
        <v>716</v>
      </c>
      <c r="N15" s="98">
        <v>1518</v>
      </c>
      <c r="O15" s="235">
        <f>M15/N15</f>
        <v>0.47167325428194995</v>
      </c>
      <c r="P15" s="236">
        <f>1-O15</f>
        <v>0.52832674571805005</v>
      </c>
      <c r="R15" s="236">
        <v>0.48514851485148514</v>
      </c>
      <c r="S15" s="237">
        <f>P15/R15-1</f>
        <v>8.9000026888225614E-2</v>
      </c>
    </row>
    <row r="16" spans="2:22" ht="15" x14ac:dyDescent="0.2">
      <c r="I16" s="5" t="s">
        <v>2</v>
      </c>
      <c r="K16" s="98">
        <v>822</v>
      </c>
      <c r="L16" s="98">
        <v>203</v>
      </c>
      <c r="M16" s="98">
        <v>300</v>
      </c>
      <c r="N16" s="98">
        <v>1325</v>
      </c>
      <c r="O16" s="235">
        <f>M16/N16</f>
        <v>0.22641509433962265</v>
      </c>
      <c r="P16" s="236">
        <f>1-O16</f>
        <v>0.77358490566037741</v>
      </c>
      <c r="R16" s="236">
        <v>0.32622950819672136</v>
      </c>
      <c r="S16" s="237">
        <f>P16/R16-1</f>
        <v>1.3712904143358298</v>
      </c>
    </row>
    <row r="17" spans="7:19" ht="15.75" thickBot="1" x14ac:dyDescent="0.25">
      <c r="I17" s="248" t="s">
        <v>76</v>
      </c>
      <c r="K17" s="249">
        <v>1827</v>
      </c>
      <c r="L17" s="249">
        <v>713</v>
      </c>
      <c r="M17" s="249">
        <v>1696</v>
      </c>
      <c r="N17" s="249">
        <v>4236</v>
      </c>
      <c r="O17" s="250">
        <f>M17/N17</f>
        <v>0.40037771482530687</v>
      </c>
      <c r="P17" s="251">
        <f>1-O17</f>
        <v>0.59962228517469307</v>
      </c>
      <c r="R17" s="236">
        <f>1-G8</f>
        <v>0.4246140833157116</v>
      </c>
    </row>
    <row r="18" spans="7:19" ht="15.75" thickBot="1" x14ac:dyDescent="0.25">
      <c r="K18" s="252" t="s">
        <v>589</v>
      </c>
      <c r="L18" s="253"/>
      <c r="M18" s="253"/>
      <c r="N18" s="253"/>
      <c r="O18" s="254"/>
      <c r="P18" s="255">
        <f>P17/R17-1</f>
        <v>0.4121582602545435</v>
      </c>
    </row>
    <row r="21" spans="7:19" ht="15" x14ac:dyDescent="0.2">
      <c r="G21" s="244"/>
      <c r="H21" s="245"/>
      <c r="I21" s="244"/>
      <c r="M21" s="232" t="s">
        <v>590</v>
      </c>
      <c r="P21" s="245"/>
    </row>
    <row r="22" spans="7:19" x14ac:dyDescent="0.2">
      <c r="G22" s="246"/>
      <c r="N22" s="247"/>
    </row>
    <row r="23" spans="7:19" ht="60" x14ac:dyDescent="0.2">
      <c r="G23" s="246"/>
      <c r="I23" s="9" t="s">
        <v>75</v>
      </c>
      <c r="K23" s="9" t="s">
        <v>579</v>
      </c>
      <c r="L23" s="9" t="s">
        <v>580</v>
      </c>
      <c r="M23" s="9" t="s">
        <v>581</v>
      </c>
      <c r="N23" s="9" t="s">
        <v>582</v>
      </c>
      <c r="O23" s="9" t="s">
        <v>583</v>
      </c>
      <c r="P23" s="9" t="s">
        <v>586</v>
      </c>
      <c r="R23" s="9" t="s">
        <v>584</v>
      </c>
      <c r="S23" s="233" t="s">
        <v>587</v>
      </c>
    </row>
    <row r="24" spans="7:19" ht="15" x14ac:dyDescent="0.2">
      <c r="I24" s="5" t="s">
        <v>8</v>
      </c>
      <c r="K24" s="256">
        <v>99</v>
      </c>
      <c r="L24" s="256">
        <v>114</v>
      </c>
      <c r="M24" s="256">
        <v>163</v>
      </c>
      <c r="N24" s="256">
        <v>376</v>
      </c>
      <c r="O24" s="235">
        <f>M24/N24</f>
        <v>0.43351063829787234</v>
      </c>
      <c r="P24" s="236">
        <f>1-O24</f>
        <v>0.5664893617021276</v>
      </c>
      <c r="R24" s="236">
        <v>0.49</v>
      </c>
      <c r="S24" s="237">
        <f>P24/R24-1</f>
        <v>0.15610073816760739</v>
      </c>
    </row>
    <row r="25" spans="7:19" ht="15" x14ac:dyDescent="0.2">
      <c r="I25" s="5" t="s">
        <v>1</v>
      </c>
      <c r="K25" s="256">
        <v>956</v>
      </c>
      <c r="L25" s="256">
        <v>503</v>
      </c>
      <c r="M25" s="256">
        <v>1142</v>
      </c>
      <c r="N25" s="256">
        <v>2601</v>
      </c>
      <c r="O25" s="235">
        <f>M25/N25</f>
        <v>0.43906189926951172</v>
      </c>
      <c r="P25" s="236">
        <f>1-O25</f>
        <v>0.56093810073048833</v>
      </c>
      <c r="R25" s="236">
        <v>0.33897280966767374</v>
      </c>
      <c r="S25" s="237">
        <f>P25/R25-1</f>
        <v>0.65481739163807151</v>
      </c>
    </row>
    <row r="26" spans="7:19" ht="15" x14ac:dyDescent="0.2">
      <c r="I26" s="5" t="s">
        <v>4</v>
      </c>
      <c r="K26" s="256">
        <v>1021</v>
      </c>
      <c r="L26" s="256">
        <v>480</v>
      </c>
      <c r="M26" s="256">
        <v>1749</v>
      </c>
      <c r="N26" s="256">
        <v>3250</v>
      </c>
      <c r="O26" s="235">
        <f>M26/N26</f>
        <v>0.5381538461538462</v>
      </c>
      <c r="P26" s="236">
        <f>1-O26</f>
        <v>0.4618461538461538</v>
      </c>
      <c r="R26" s="236">
        <v>0.48514851485148514</v>
      </c>
      <c r="S26" s="237">
        <f>P26/R26-1</f>
        <v>-4.803139717425442E-2</v>
      </c>
    </row>
    <row r="27" spans="7:19" ht="15" x14ac:dyDescent="0.2">
      <c r="I27" s="5" t="s">
        <v>2</v>
      </c>
      <c r="K27" s="256">
        <v>1727</v>
      </c>
      <c r="L27" s="256">
        <v>393</v>
      </c>
      <c r="M27" s="256">
        <v>853</v>
      </c>
      <c r="N27" s="256">
        <v>2973</v>
      </c>
      <c r="O27" s="235">
        <f>M27/N27</f>
        <v>0.28691557349478641</v>
      </c>
      <c r="P27" s="236">
        <f>1-O27</f>
        <v>0.71308442650521364</v>
      </c>
      <c r="R27" s="236">
        <v>0.32622950819672136</v>
      </c>
      <c r="S27" s="237">
        <f>P27/R27-1</f>
        <v>1.1858366842622123</v>
      </c>
    </row>
    <row r="28" spans="7:19" ht="15.75" thickBot="1" x14ac:dyDescent="0.25">
      <c r="I28" s="248" t="s">
        <v>76</v>
      </c>
      <c r="K28" s="249">
        <f>SUM(K24:K27)</f>
        <v>3803</v>
      </c>
      <c r="L28" s="249">
        <f>SUM(L24:L27)</f>
        <v>1490</v>
      </c>
      <c r="M28" s="249">
        <f>SUM(M24:M27)</f>
        <v>3907</v>
      </c>
      <c r="N28" s="249">
        <f>SUM(N24:N27)</f>
        <v>9200</v>
      </c>
      <c r="O28" s="250">
        <f>M28/N28</f>
        <v>0.42467391304347823</v>
      </c>
      <c r="P28" s="251">
        <f>1-O28</f>
        <v>0.57532608695652177</v>
      </c>
      <c r="R28" s="236">
        <f>1-G8</f>
        <v>0.4246140833157116</v>
      </c>
    </row>
    <row r="29" spans="7:19" ht="15.75" thickBot="1" x14ac:dyDescent="0.25">
      <c r="K29" s="252" t="s">
        <v>589</v>
      </c>
      <c r="L29" s="253"/>
      <c r="M29" s="253"/>
      <c r="N29" s="253"/>
      <c r="O29" s="254"/>
      <c r="P29" s="255">
        <f>P28/R28-1</f>
        <v>0.35493877749870073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CIP</vt:lpstr>
      <vt:lpstr>CIP-Pravin</vt:lpstr>
      <vt:lpstr>CIP-Surya</vt:lpstr>
      <vt:lpstr>CIP-Coal</vt:lpstr>
      <vt:lpstr>CIP-Mangesh</vt:lpstr>
      <vt:lpstr>Delivery Performance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Pratik Mehta</cp:lastModifiedBy>
  <cp:revision>1</cp:revision>
  <dcterms:modified xsi:type="dcterms:W3CDTF">2017-04-20T12:28:14Z</dcterms:modified>
  <cp:category/>
</cp:coreProperties>
</file>