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5775" yWindow="45" windowWidth="14730" windowHeight="7815" activeTab="1"/>
  </bookViews>
  <sheets>
    <sheet name="CIP Tracker" sheetId="1" r:id="rId1"/>
    <sheet name="Update " sheetId="3" r:id="rId2"/>
    <sheet name="MoMs" sheetId="5" r:id="rId3"/>
    <sheet name="Meeting - 31 Mar '17" sheetId="6" r:id="rId4"/>
  </sheets>
  <definedNames>
    <definedName name="_xlnm._FilterDatabase" localSheetId="0" hidden="1">'CIP Tracker'!$A$4:$AC$72</definedName>
    <definedName name="_xlnm._FilterDatabase" localSheetId="2" hidden="1">MoMs!$A$3:$D$12</definedName>
  </definedNames>
  <calcPr calcId="145621" iterate="1"/>
</workbook>
</file>

<file path=xl/calcChain.xml><?xml version="1.0" encoding="utf-8"?>
<calcChain xmlns="http://schemas.openxmlformats.org/spreadsheetml/2006/main">
  <c r="K12" i="3" l="1"/>
  <c r="K7" i="3"/>
  <c r="K8" i="3"/>
  <c r="K9" i="3"/>
  <c r="K10" i="3"/>
  <c r="K6" i="3"/>
  <c r="I6" i="3"/>
  <c r="I12" i="3" s="1"/>
  <c r="I7" i="3"/>
  <c r="I8" i="3"/>
  <c r="I9" i="3"/>
  <c r="I10" i="3"/>
  <c r="M3" i="1" l="1"/>
  <c r="N3" i="1"/>
  <c r="O3" i="1"/>
  <c r="AB3"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5" i="1"/>
  <c r="P3" i="1"/>
  <c r="Q8" i="1"/>
  <c r="Q9" i="1"/>
  <c r="Q10" i="1"/>
  <c r="Q11" i="1"/>
  <c r="Q12" i="1"/>
  <c r="Q13" i="1"/>
  <c r="Q14" i="1"/>
  <c r="Q16" i="1"/>
  <c r="Q17" i="1"/>
  <c r="Q19" i="1"/>
  <c r="Q24" i="1"/>
  <c r="Q25" i="1"/>
  <c r="Q26" i="1"/>
  <c r="Q27" i="1"/>
  <c r="Q28" i="1"/>
  <c r="Q30" i="1"/>
  <c r="Q31" i="1"/>
  <c r="Q32" i="1"/>
  <c r="Q33" i="1"/>
  <c r="Q34" i="1"/>
  <c r="Q35" i="1"/>
  <c r="Q36" i="1"/>
  <c r="Q37" i="1"/>
  <c r="Q38" i="1"/>
  <c r="Q39" i="1"/>
  <c r="Q40" i="1"/>
  <c r="Q41" i="1"/>
  <c r="Q42" i="1"/>
  <c r="Q43" i="1"/>
  <c r="Q44" i="1"/>
  <c r="Q45" i="1"/>
  <c r="Q46" i="1"/>
  <c r="Q47" i="1"/>
  <c r="Q48" i="1"/>
  <c r="Q49" i="1"/>
  <c r="Q50" i="1"/>
  <c r="Q52" i="1"/>
  <c r="Q53" i="1"/>
  <c r="Q54" i="1"/>
  <c r="Q55" i="1"/>
  <c r="Q56" i="1"/>
  <c r="Q57" i="1"/>
  <c r="Q58" i="1"/>
  <c r="Q59" i="1"/>
  <c r="Q61" i="1"/>
  <c r="Q62" i="1"/>
  <c r="Q63" i="1"/>
  <c r="Q64" i="1"/>
  <c r="Q65" i="1"/>
  <c r="Q72" i="1"/>
  <c r="AC3" i="1" l="1"/>
  <c r="O6" i="1"/>
  <c r="Q6" i="1" s="1"/>
  <c r="O29" i="1"/>
  <c r="Q29" i="1" s="1"/>
  <c r="O60" i="1" l="1"/>
  <c r="Q60" i="1" s="1"/>
  <c r="O18" i="1"/>
  <c r="Q18" i="1" s="1"/>
  <c r="O5" i="1" l="1"/>
  <c r="Q5" i="1" s="1"/>
  <c r="O7" i="1"/>
  <c r="Q7" i="1" s="1"/>
  <c r="M70" i="1" l="1"/>
  <c r="M69" i="1" l="1"/>
  <c r="M68" i="1"/>
  <c r="L67" i="1"/>
  <c r="M67" i="1" s="1"/>
  <c r="M66" i="1"/>
  <c r="M62" i="1"/>
  <c r="O21" i="1" l="1"/>
  <c r="Q21" i="1" s="1"/>
  <c r="O22" i="1"/>
  <c r="Q22" i="1" s="1"/>
  <c r="O23" i="1" l="1"/>
  <c r="Q23" i="1" s="1"/>
  <c r="O51" i="1" l="1"/>
  <c r="Q51" i="1" s="1"/>
  <c r="M7" i="1" l="1"/>
  <c r="M65" i="1" l="1"/>
  <c r="M64" i="1" l="1"/>
  <c r="H10" i="3" l="1"/>
  <c r="F6" i="3"/>
  <c r="L15" i="1"/>
  <c r="M15" i="1" s="1"/>
  <c r="N15" i="1" s="1"/>
  <c r="J10" i="3" l="1"/>
  <c r="L10" i="3"/>
  <c r="L20" i="1"/>
  <c r="K20" i="1"/>
  <c r="O20" i="1" s="1"/>
  <c r="Q20" i="1" s="1"/>
  <c r="Q3" i="1" s="1"/>
  <c r="M20" i="1" l="1"/>
  <c r="N20" i="1" s="1"/>
  <c r="M58" i="1" l="1"/>
  <c r="N58" i="1" s="1"/>
  <c r="N37" i="1" l="1"/>
  <c r="N35" i="1"/>
  <c r="M28" i="1" l="1"/>
  <c r="N28" i="1" s="1"/>
  <c r="M16" i="1"/>
  <c r="N16" i="1" s="1"/>
  <c r="E6" i="3" l="1"/>
  <c r="G6" i="3" s="1"/>
  <c r="M48" i="1" l="1"/>
  <c r="N48" i="1" s="1"/>
  <c r="M51" i="1" l="1"/>
  <c r="M46" i="1" l="1"/>
  <c r="M44" i="1" l="1"/>
  <c r="L27" i="1" l="1"/>
  <c r="H7" i="3" l="1"/>
  <c r="J7" i="3" l="1"/>
  <c r="L7" i="3"/>
  <c r="H6" i="3"/>
  <c r="J6" i="3" l="1"/>
  <c r="L6" i="3"/>
  <c r="H9" i="3"/>
  <c r="L9" i="3" s="1"/>
  <c r="H8" i="3" l="1"/>
  <c r="L8" i="3" s="1"/>
  <c r="H12" i="3" l="1"/>
  <c r="L12" i="3" s="1"/>
  <c r="J8" i="3"/>
  <c r="M5" i="1"/>
  <c r="N5" i="1" s="1"/>
  <c r="M27" i="1"/>
  <c r="N27" i="1" s="1"/>
  <c r="N7" i="1" l="1"/>
  <c r="F7" i="3" s="1"/>
  <c r="E7" i="3"/>
  <c r="N30" i="1"/>
  <c r="G7" i="3" l="1"/>
  <c r="L33" i="1"/>
  <c r="L29" i="1"/>
  <c r="L21" i="1"/>
  <c r="L19" i="1"/>
  <c r="L61" i="1"/>
  <c r="K32" i="1" l="1"/>
  <c r="M32" i="1" s="1"/>
  <c r="N32" i="1" s="1"/>
  <c r="K42" i="1"/>
  <c r="N14" i="1" l="1"/>
  <c r="M42" i="1"/>
  <c r="N42" i="1" s="1"/>
  <c r="M59" i="1" l="1"/>
  <c r="M43" i="1"/>
  <c r="N43" i="1" s="1"/>
  <c r="N59" i="1" l="1"/>
  <c r="M45" i="1"/>
  <c r="J12" i="3" l="1"/>
  <c r="J9" i="3"/>
  <c r="N45" i="1"/>
  <c r="M19" i="1"/>
  <c r="N19" i="1" s="1"/>
  <c r="M61" i="1"/>
  <c r="M29" i="1"/>
  <c r="N29" i="1" s="1"/>
  <c r="M33" i="1"/>
  <c r="N33" i="1" s="1"/>
  <c r="M34" i="1"/>
  <c r="N34" i="1" s="1"/>
  <c r="M21" i="1"/>
  <c r="N21" i="1" l="1"/>
  <c r="F10" i="3" s="1"/>
  <c r="E10" i="3"/>
  <c r="N61" i="1"/>
  <c r="M41" i="1"/>
  <c r="N41" i="1" s="1"/>
  <c r="M18" i="1"/>
  <c r="N18" i="1" s="1"/>
  <c r="M38" i="1"/>
  <c r="N38" i="1" s="1"/>
  <c r="M57" i="1"/>
  <c r="N57" i="1" s="1"/>
  <c r="M36" i="1"/>
  <c r="N36" i="1" s="1"/>
  <c r="M40" i="1"/>
  <c r="N40" i="1" s="1"/>
  <c r="M60" i="1"/>
  <c r="N60" i="1" s="1"/>
  <c r="M39" i="1"/>
  <c r="N39" i="1" s="1"/>
  <c r="M23" i="1"/>
  <c r="N23" i="1" s="1"/>
  <c r="M11" i="1"/>
  <c r="N11" i="1" s="1"/>
  <c r="M31" i="1"/>
  <c r="N31" i="1" s="1"/>
  <c r="M17" i="1"/>
  <c r="G10" i="3" l="1"/>
  <c r="F9" i="3"/>
  <c r="N17" i="1"/>
  <c r="F8" i="3" s="1"/>
  <c r="E8" i="3"/>
  <c r="E9" i="3"/>
  <c r="G9" i="3" l="1"/>
  <c r="G8" i="3"/>
  <c r="F12" i="3"/>
  <c r="E12" i="3"/>
</calcChain>
</file>

<file path=xl/comments1.xml><?xml version="1.0" encoding="utf-8"?>
<comments xmlns="http://schemas.openxmlformats.org/spreadsheetml/2006/main">
  <authors>
    <author>Khushnam Joshi</author>
  </authors>
  <commentList>
    <comment ref="V14" authorId="0">
      <text>
        <r>
          <rPr>
            <b/>
            <sz val="9"/>
            <color indexed="81"/>
            <rFont val="Tahoma"/>
            <family val="2"/>
          </rPr>
          <t>Khushnam Joshi:</t>
        </r>
        <r>
          <rPr>
            <sz val="9"/>
            <color indexed="81"/>
            <rFont val="Tahoma"/>
            <family val="2"/>
          </rPr>
          <t xml:space="preserve">
Check in BOM
</t>
        </r>
      </text>
    </comment>
    <comment ref="L15" authorId="0">
      <text>
        <r>
          <rPr>
            <b/>
            <sz val="9"/>
            <color indexed="81"/>
            <rFont val="Tahoma"/>
            <family val="2"/>
          </rPr>
          <t>Khushnam Joshi:</t>
        </r>
        <r>
          <rPr>
            <sz val="9"/>
            <color indexed="81"/>
            <rFont val="Tahoma"/>
            <family val="2"/>
          </rPr>
          <t xml:space="preserve">
Get Material Code for C16 from Subrata to view total comsumption (to determine qty for CIP)</t>
        </r>
      </text>
    </comment>
    <comment ref="O15" authorId="0">
      <text>
        <r>
          <rPr>
            <b/>
            <sz val="9"/>
            <color indexed="81"/>
            <rFont val="Tahoma"/>
            <family val="2"/>
          </rPr>
          <t>Khushnam Joshi:</t>
        </r>
        <r>
          <rPr>
            <sz val="9"/>
            <color indexed="81"/>
            <rFont val="Tahoma"/>
            <family val="2"/>
          </rPr>
          <t xml:space="preserve">
Confirm with Subrata</t>
        </r>
      </text>
    </comment>
    <comment ref="V15" authorId="0">
      <text>
        <r>
          <rPr>
            <b/>
            <sz val="9"/>
            <color indexed="81"/>
            <rFont val="Tahoma"/>
            <family val="2"/>
          </rPr>
          <t>Khushnam Joshi:</t>
        </r>
        <r>
          <rPr>
            <sz val="9"/>
            <color indexed="81"/>
            <rFont val="Tahoma"/>
            <family val="2"/>
          </rPr>
          <t xml:space="preserve">
Confirm based on consumption report in SAP</t>
        </r>
      </text>
    </comment>
    <comment ref="V17" authorId="0">
      <text>
        <r>
          <rPr>
            <b/>
            <sz val="9"/>
            <color indexed="81"/>
            <rFont val="Tahoma"/>
            <family val="2"/>
          </rPr>
          <t>Khushnam Joshi:</t>
        </r>
        <r>
          <rPr>
            <sz val="9"/>
            <color indexed="81"/>
            <rFont val="Tahoma"/>
            <family val="2"/>
          </rPr>
          <t xml:space="preserve">
Check in BOM
</t>
        </r>
      </text>
    </comment>
    <comment ref="V20" authorId="0">
      <text>
        <r>
          <rPr>
            <b/>
            <sz val="9"/>
            <color indexed="81"/>
            <rFont val="Tahoma"/>
            <family val="2"/>
          </rPr>
          <t>Khushnam Joshi:</t>
        </r>
        <r>
          <rPr>
            <sz val="9"/>
            <color indexed="81"/>
            <rFont val="Tahoma"/>
            <family val="2"/>
          </rPr>
          <t xml:space="preserve">
Check in BOM
</t>
        </r>
      </text>
    </comment>
    <comment ref="L43" authorId="0">
      <text>
        <r>
          <rPr>
            <b/>
            <sz val="9"/>
            <color indexed="81"/>
            <rFont val="Tahoma"/>
            <family val="2"/>
          </rPr>
          <t>Khushnam Joshi:</t>
        </r>
        <r>
          <rPr>
            <sz val="9"/>
            <color indexed="81"/>
            <rFont val="Tahoma"/>
            <family val="2"/>
          </rPr>
          <t xml:space="preserve">
take qty. based on SAP consumption of AOS liquid</t>
        </r>
      </text>
    </comment>
    <comment ref="L48" authorId="0">
      <text>
        <r>
          <rPr>
            <b/>
            <sz val="9"/>
            <color indexed="81"/>
            <rFont val="Tahoma"/>
            <family val="2"/>
          </rPr>
          <t>Khushnam Joshi:</t>
        </r>
        <r>
          <rPr>
            <sz val="9"/>
            <color indexed="81"/>
            <rFont val="Tahoma"/>
            <family val="2"/>
          </rPr>
          <t xml:space="preserve">
Based on how much can be sourced (market indicates that more than 100 MT per month will be difficult)</t>
        </r>
      </text>
    </comment>
  </commentList>
</comments>
</file>

<file path=xl/sharedStrings.xml><?xml version="1.0" encoding="utf-8"?>
<sst xmlns="http://schemas.openxmlformats.org/spreadsheetml/2006/main" count="968" uniqueCount="368">
  <si>
    <t>SR. NO.</t>
  </si>
  <si>
    <t>Project Description</t>
  </si>
  <si>
    <t>COUNTRY</t>
  </si>
  <si>
    <t>TOTAL</t>
  </si>
  <si>
    <t>PCP COST IMPROVEMENT PROJECT TRACKER FY 16-17</t>
  </si>
  <si>
    <t>Sucorse in place of Glycerin in Translucent soap . Sucrose performs similar function as Glycerin &amp; provide improved translucency</t>
  </si>
  <si>
    <t xml:space="preserve">EHDP </t>
  </si>
  <si>
    <t xml:space="preserve">Tulsi Oil </t>
  </si>
  <si>
    <t>Peach Extract</t>
  </si>
  <si>
    <t>SLS Needles 12-14</t>
  </si>
  <si>
    <t>AOS Needle</t>
  </si>
  <si>
    <t>Alternate Vendor</t>
  </si>
  <si>
    <t>Alternate Vendor -Cost saving with same quality</t>
  </si>
  <si>
    <t>Cost saving with same quality</t>
  </si>
  <si>
    <t>CPD</t>
  </si>
  <si>
    <t>CMB</t>
  </si>
  <si>
    <t>India</t>
  </si>
  <si>
    <t>Mr Amit Shukla/ Paramesh D</t>
  </si>
  <si>
    <t>Soap</t>
  </si>
  <si>
    <t>Cost saving with better quality</t>
  </si>
  <si>
    <t>R&amp;D</t>
  </si>
  <si>
    <t>Di sodium EDTA</t>
  </si>
  <si>
    <t>Liquid</t>
  </si>
  <si>
    <t>Mr. Pravin / Ms.Manasi</t>
  </si>
  <si>
    <t>Pilot sample trial ongoing + stability test 6 weeks</t>
  </si>
  <si>
    <t>KG</t>
  </si>
  <si>
    <t>MT</t>
  </si>
  <si>
    <t xml:space="preserve">Shrink sleeves change over from 35micron PVC film to 30micron PVC film &amp; also 25 micron. </t>
  </si>
  <si>
    <t>Ranajeet</t>
  </si>
  <si>
    <t xml:space="preserve">Yield Savings-12% Yield </t>
  </si>
  <si>
    <t>Aug 16</t>
  </si>
  <si>
    <t>Sept 16</t>
  </si>
  <si>
    <t xml:space="preserve"> 400GSM - 0.27INR, </t>
  </si>
  <si>
    <t>1INR/kg</t>
  </si>
  <si>
    <t>1.7 ink on JO &amp; BS  wrapper</t>
  </si>
  <si>
    <t>Oct 16</t>
  </si>
  <si>
    <t>Yash Paper on Wrapper replacing Bilt</t>
  </si>
  <si>
    <t xml:space="preserve">Keefe Soap Packaging </t>
  </si>
  <si>
    <t>Saving on alternative(local)vendors</t>
  </si>
  <si>
    <t>June 16</t>
  </si>
  <si>
    <t>PURCHASE</t>
  </si>
  <si>
    <t xml:space="preserve"> Category</t>
  </si>
  <si>
    <t>Plant</t>
  </si>
  <si>
    <t>Reformulation : 20 % Target Moisture Soap , Jo Minis Grade-3  Already in Market</t>
  </si>
  <si>
    <t>PCP</t>
  </si>
  <si>
    <t>Ranajeet/Laxmi</t>
  </si>
  <si>
    <t>Glycerin  replacement  with Sorbitol- Keefe soap</t>
  </si>
  <si>
    <t>Bleached Glycerin  replace CP galde- Transparent soap</t>
  </si>
  <si>
    <t xml:space="preserve">Primary alcohol( Taloja) sulfate  to be  replaced with  Existing surfactants </t>
  </si>
  <si>
    <t xml:space="preserve">Risk </t>
  </si>
  <si>
    <t>Suitability of Soya Acid Oil for AL Noodle</t>
  </si>
  <si>
    <t>Oil</t>
  </si>
  <si>
    <t>Replacement for RBFAD</t>
  </si>
  <si>
    <t>Suitability of Cotton Oil</t>
  </si>
  <si>
    <t>Replacement for PKO</t>
  </si>
  <si>
    <t>Cost Saving</t>
  </si>
  <si>
    <t>Savings through RBO 20% FFA</t>
  </si>
  <si>
    <t>Elimination of 2nd Distillation of C16</t>
  </si>
  <si>
    <t>Fresco Oil Carry Forward</t>
  </si>
  <si>
    <t>Market Study of Algae Oil</t>
  </si>
  <si>
    <t>Exploring New opportunities</t>
  </si>
  <si>
    <t>Market Study of Mahua Oil</t>
  </si>
  <si>
    <t>Import of Soybean Fatty Acid</t>
  </si>
  <si>
    <t>Market Study of PMF/Hard Stearin</t>
  </si>
  <si>
    <t>Suppliers for C16 and Mix Residue</t>
  </si>
  <si>
    <t>Replacement for PS &amp; PFAD</t>
  </si>
  <si>
    <t>NO RISK</t>
  </si>
  <si>
    <t xml:space="preserve">BU </t>
  </si>
  <si>
    <t>Jan 2016</t>
  </si>
  <si>
    <t>"March 2017</t>
  </si>
  <si>
    <t>Riju/Amit</t>
  </si>
  <si>
    <t>Riju/Pravin</t>
  </si>
  <si>
    <t>Rayomand</t>
  </si>
  <si>
    <t xml:space="preserve">Implemneted </t>
  </si>
  <si>
    <t>Implemented</t>
  </si>
  <si>
    <t>Stability trial ongoing</t>
  </si>
  <si>
    <t xml:space="preserve">Actual </t>
  </si>
  <si>
    <t>Strategic Oil</t>
  </si>
  <si>
    <t>Annual Savings</t>
  </si>
  <si>
    <t>2016-17</t>
  </si>
  <si>
    <t>Target Savings</t>
  </si>
  <si>
    <t>CIP TRACKER UPDATE   FY 2016-17</t>
  </si>
  <si>
    <t>Jan 2017</t>
  </si>
  <si>
    <t>Actual Start Date</t>
  </si>
  <si>
    <t>S.Kannan</t>
  </si>
  <si>
    <t>Trial Order Placed with GLS</t>
  </si>
  <si>
    <t>Trial Order Placed with Arihant</t>
  </si>
  <si>
    <t>Trial Failed (Cancelled)</t>
  </si>
  <si>
    <t>Trial Successful</t>
  </si>
  <si>
    <t>Not viable, supplier quoted high</t>
  </si>
  <si>
    <t>Riju/Ranajeet</t>
  </si>
  <si>
    <t>RISK</t>
  </si>
  <si>
    <t>Transparent Soap</t>
  </si>
  <si>
    <t>H PKO Replaced by C 12- 18 FA ( CNO)</t>
  </si>
  <si>
    <t>LOW RISK</t>
  </si>
  <si>
    <t>Impact Assesment</t>
  </si>
  <si>
    <t>RM &amp; PM overconsumption reduction over last year</t>
  </si>
  <si>
    <t>0'</t>
  </si>
  <si>
    <t>Dept Head</t>
  </si>
  <si>
    <t>-</t>
  </si>
  <si>
    <t>Subrata Debnath/ Khushnam Joshi</t>
  </si>
  <si>
    <t xml:space="preserve">Business Finance to do the following:
- full reconciliation on 'Update' sheet 
- CIP tracker to start tagging which projects are new/ existing
</t>
  </si>
  <si>
    <t>12-16 Sep</t>
  </si>
  <si>
    <t>Amarjit Mishra</t>
  </si>
  <si>
    <t>CPD team will revert with projected volume of collating machines to evaluate capital investment</t>
  </si>
  <si>
    <t xml:space="preserve">Cost saving of INR 6 cr. by modeling Lia soap for Jo was mentioned during meeting. Will be further explored by CPD team.
Additionally, idea of reducing Bactershield pouch size will be explored. </t>
  </si>
  <si>
    <t>Currently in progress
9-Sep</t>
  </si>
  <si>
    <t>Rayomand Mirzan/ Ranajeet Desai/
Vishal Pathak/
Amarjit Mishra</t>
  </si>
  <si>
    <t xml:space="preserve">Procurement team has initiated packaging cost cutting opportunity, i.e. to change paper sleeve for Jo 100gX8. CPD team and has given initial approval to take this forward. Packaging Development team will initiate trial. Potential annualised savings are INR 6-7.6 lacs.  </t>
  </si>
  <si>
    <t>Amit Shukla; Amarjit Mishra</t>
  </si>
  <si>
    <t>Based on meeting date</t>
  </si>
  <si>
    <t>Amit Shukla, Amarjit Mishra</t>
  </si>
  <si>
    <t xml:space="preserve">Update on using sucrose instead of glycerin:
- Sucrose prices fluctuate, whereas glycerin prices are more stable. However, sucrose prices are overall cheaper than glycerin even after considering fluctuations 
- Plan is to use more sucrose than glycerin in formulation for the next 3 months
- Sucrose price trend over the last 3-4 years and current inventory to be taken into consideration before finalizing concentration of ingredients in formulation
- Meeting to be held for finalizing formulation (Tentative Attendees are: Sunil Pandey, Ranajeet Desai, Laxmidhar Barik, Amit Shukla, Subrata Debnath and Amarjit Mishra)
</t>
  </si>
  <si>
    <t xml:space="preserve">CPD Head suggested Bactershield to model Lifebuoy soap based formulation because it is cheaper and has greater customer satisfaction than current BS formulation. R&amp;D to explore this. 
</t>
  </si>
  <si>
    <t>Amit Shukla; Khushnam Joshi</t>
  </si>
  <si>
    <t xml:space="preserve">R&amp;D opportunities listed below were discussed in meeting. R&amp;D team will discuss comprehensive list of Jo variation cost cutting opportunities to Business Finance team. 
- 55g Jo soap
- Bathing Bar grade soap 
- Grade 3 soap
- Using refined neutral oil for Jo mini noodles
Opportunities will be evaluated in terms of cost-saving and viability and taken forward on approval of samples from CPD head
</t>
  </si>
  <si>
    <t>Amit Shukla; Subrata Debnath/ Khushnam Joshi</t>
  </si>
  <si>
    <t>Follow-up date</t>
  </si>
  <si>
    <t>Responsibility</t>
  </si>
  <si>
    <t>Discussion Points</t>
  </si>
  <si>
    <t xml:space="preserve">Sr. No. </t>
  </si>
  <si>
    <t>MOM - 1 September 2016
Meeting Attendees: Subrata Debnath, Pratyaya Chakrabarti, S Kannan, Amarjit Mishra, Rayomand Mirzan, Amit Shukla, Ranajeet Desai and Khushnam Joshi</t>
  </si>
  <si>
    <t xml:space="preserve">Soya acid oil is available at competitive price in market. R&amp;D team will see if they can use soya acid oil to substitute RBO or PFAD. 
Business Finance team will calculate savings.
</t>
  </si>
  <si>
    <t xml:space="preserve">R&amp;D Team is still working on. Prototype was made for Jo Lime. 
Business Finance to calculate cost saving. Oil processing requires two further steps: hydrogination and distillation, which is not required for RBO or PFAD. Exact figure from Finance required. </t>
  </si>
  <si>
    <t>- For 55g, same formulation as Jo mini can be used (grade 3) total MT qty required to calculate cost saving)
- Bathing Bar soap can be used based on Lia soap in Dubai. R&amp;D team to send formulation to Business Finance to calculate cost saving
- For using neutral oil instead of PFAD, RBDPS or PKO, splitting and distillation is not required. Business Finance needs to calculate how much saving from removing these two processes</t>
  </si>
  <si>
    <t xml:space="preserve">Marketing team has sent sample of BS provided by R&amp;D team to agency to conduct a consumer test for this. Marketing team will take call on this after response from agency. </t>
  </si>
  <si>
    <t>Meeting date tenatively planned for next week</t>
  </si>
  <si>
    <t xml:space="preserve">R&amp;D will work on intermediate alcohol sulfonates from Taloja in BS hand wash instead of Alpha Olefin Sulfonate (AOS). Sample will be provided to CPD head for review and approval 
</t>
  </si>
  <si>
    <t xml:space="preserve">R&amp;D team is working on this, update will be given in next CIP meeting. </t>
  </si>
  <si>
    <t>Cost saving</t>
  </si>
  <si>
    <t>Jo 100gX8 Paper Sleeve - White back 400 GSM Board</t>
  </si>
  <si>
    <t>125gx4 &amp; 75gx4 sleeve implemented in September and 50gx12 transit trial Ok in October.Buying will done in Nov-2016 Bactershield Handwash 215ml(25micron) sleeve trial is pending.</t>
  </si>
  <si>
    <t>Precommercial order for JO lime 100gm received and production is pending.</t>
  </si>
  <si>
    <t>Sunil Singh</t>
  </si>
  <si>
    <t>Rayomand M.</t>
  </si>
  <si>
    <t xml:space="preserve">Samples stability to be over by 15th November. Roll out from 1st December 2016. </t>
  </si>
  <si>
    <t>Implemented in last week of Aug 16</t>
  </si>
  <si>
    <t>User trial failed when SL-Sarcocinate was replaced with Decyl Glucoside in DC Face Wash existing products. User trial to be re-conducted against the market benchmark samples with the modified formulation &amp; decision to be taken.</t>
  </si>
  <si>
    <t>Substitute KathonCG with Microcare ITO - Done. 
Stability completed (microbial tests, etc.). 
Implementation pending (low volumes)</t>
  </si>
  <si>
    <t>BS Handwash Cost Saving Formulation</t>
  </si>
  <si>
    <t>Manpower Savings for YTD Sept. 2016 is -23 lacs</t>
  </si>
  <si>
    <t>JO 30g Replace wraper pack with flow wrap</t>
  </si>
  <si>
    <t>R&amp;D/ Ranajeet</t>
  </si>
  <si>
    <t>Jan/Feb 2017</t>
  </si>
  <si>
    <t>0.04,0.05&amp;0.07/ Carton</t>
  </si>
  <si>
    <t>DOY CARE 125g x4 display pack size revised</t>
  </si>
  <si>
    <t>Owner</t>
  </si>
  <si>
    <t>Primary Objective</t>
  </si>
  <si>
    <t>Unit</t>
  </si>
  <si>
    <t>Savings/Unit</t>
  </si>
  <si>
    <t>Quantity</t>
  </si>
  <si>
    <t>Annuliased savings</t>
  </si>
  <si>
    <t>Savings in 
FY 16-17</t>
  </si>
  <si>
    <t>Project Team Members</t>
  </si>
  <si>
    <t>Planned Start Date</t>
  </si>
  <si>
    <t>Planned End Date</t>
  </si>
  <si>
    <t>Actual End Date</t>
  </si>
  <si>
    <t>Proposed Procurement Date</t>
  </si>
  <si>
    <t>Action Agreed Upon</t>
  </si>
  <si>
    <t>Status</t>
  </si>
  <si>
    <t>On-going</t>
  </si>
  <si>
    <t>Not started</t>
  </si>
  <si>
    <t>Update on Soya acid oil: Oil was purchased a few days ago. R&amp;D to prepare samples and Business Finance to coordinate with R&amp;D and Oil Procurement team to ensure availibility of oil.
Note - Next time oil is to be procured for CIP projects, we will buy oil if samples cause delay in procurement. 
Business Finance to calculate cost of additional processing steps for Soya acid oil.</t>
  </si>
  <si>
    <t>R&amp;D Team;
Madhavan D.; 
Khushnam Joshi</t>
  </si>
  <si>
    <t>MOM - 28 October 2016
Meeting Attendees: Subrata Debnath, Pratyaya Chakrabarti, Amarjit Mishra, Rayomand Mirzan, Dr. Vadiraj Ekkundi, Madhavan Dakshinamurthy, Ranajeet Desai and Khushnam Joshi</t>
  </si>
  <si>
    <t>Amit Shukla; Business Finance Team</t>
  </si>
  <si>
    <t>Closed</t>
  </si>
  <si>
    <t>On hold</t>
  </si>
  <si>
    <t xml:space="preserve">To revisit project during summer (cotton oil season). Oil team to track prices in the mean time. </t>
  </si>
  <si>
    <t>Not vialable due to current duty structure</t>
  </si>
  <si>
    <t>To be undertaken as new/separate project</t>
  </si>
  <si>
    <t>Not viable</t>
  </si>
  <si>
    <t>Purchase</t>
  </si>
  <si>
    <t>Madhavan, Amit Shukla</t>
  </si>
  <si>
    <t>Completed</t>
  </si>
  <si>
    <t>Harmonization (removal) of some additives from Jo 
Calculated by Business Finance</t>
  </si>
  <si>
    <t>Role of sodium gluconate is to remove heavy metals from oil (chelate)/ is a preservative. Sodium gluconate can replace EHDP and EDTA together and is cheaper.  
Calcualted by Business Finance</t>
  </si>
  <si>
    <t>H PKO was being used in Transparent Soap. This was very expensive and Coconut Fatty Acid could be used instead. 
Get cost savings from Subrata</t>
  </si>
  <si>
    <t xml:space="preserve">R&amp;D has concluded that quality would be compromised, therefore initiative is closed. Colour and shine will be affected. 
</t>
  </si>
  <si>
    <t xml:space="preserve">Due to insufficient need of existing surfactants, project is not feasbile. Additionally, Taloja cannot sullfonate primary alcohol and would require third-party to manufacture.  </t>
  </si>
  <si>
    <t>Pravin Santoor</t>
  </si>
  <si>
    <t>Additional Comments</t>
  </si>
  <si>
    <t xml:space="preserve">Stability completed Successfully , Internal Panel Testing is done and result is positive. 
Project currently on hold: at the time project was initiated, price of glycerine was high and sucrose was cheap. Currently, this is no longer the case. Riju will continue to track sucrose prices and alert in case of saving potential. </t>
  </si>
  <si>
    <t xml:space="preserve">Trial failed - cancelled. </t>
  </si>
  <si>
    <t>Plant trial ongoing, stability test to be done 6 weeks 
Not viable - supplier quoted high</t>
  </si>
  <si>
    <t>This year, we have moved to Coconut oil for our soaps - byproduct is sent to Taloja to re-process and sell to the market. 
In CNO, we get 12% of byproduct vs. 7% with  PKO</t>
  </si>
  <si>
    <t xml:space="preserve">CNO based fat charge </t>
  </si>
  <si>
    <t>Replacement for PFAD and RBFAD</t>
  </si>
  <si>
    <t>Project closed due to lack of availibility</t>
  </si>
  <si>
    <t xml:space="preserve">Risk - availibitiy of CNO year-round (now because of de-monetization). </t>
  </si>
  <si>
    <t>Soap/ Noodle</t>
  </si>
  <si>
    <t>Soap/ Liquid</t>
  </si>
  <si>
    <t>NOS</t>
  </si>
  <si>
    <t>Madhavan</t>
  </si>
  <si>
    <t xml:space="preserve">RM/PM Savings
</t>
  </si>
  <si>
    <t xml:space="preserve">We source Oil with 20% or higher FFA (from our plant in Indonesia) to avoide import duties on PKO. Assumptions: 
- Fresco premium over CPKO: $30
- Average USD-INR exchange rate between Apr - Jun 2016 is INR 66.91 </t>
  </si>
  <si>
    <t>Water content increased in Jo Mini - 30g (Grade 2 soap made into Grade 3) 
Previous moisture - 12%
New 20%</t>
  </si>
  <si>
    <t>Madhavan does not know how muhc c-16 we have actually consumed. But the second distillation cost is 1200 per MT</t>
  </si>
  <si>
    <t xml:space="preserve">High risk: 1) Soya Acid Oil has high Iodine Value (bad component). Colour will be impacted. </t>
  </si>
  <si>
    <t>Apr - 16</t>
  </si>
  <si>
    <t>Jul - 16</t>
  </si>
  <si>
    <t>Sep - 17</t>
  </si>
  <si>
    <t>Oct - 16</t>
  </si>
  <si>
    <t>Jun - 16</t>
  </si>
  <si>
    <t>Mar - 15</t>
  </si>
  <si>
    <t>Sep - 16</t>
  </si>
  <si>
    <t>Aug - 17</t>
  </si>
  <si>
    <t>Sep - 2016</t>
  </si>
  <si>
    <t>Aug - 2017</t>
  </si>
  <si>
    <t>Jul - 2016</t>
  </si>
  <si>
    <t>Jun 2017</t>
  </si>
  <si>
    <t>May 2016</t>
  </si>
  <si>
    <t>April 17</t>
  </si>
  <si>
    <t>Aug 16
Nov 16 - for 50X12</t>
  </si>
  <si>
    <t>Jul 17
Oct 17 - for 50X12</t>
  </si>
  <si>
    <t>Apr - 2017</t>
  </si>
  <si>
    <t>Bactershield Hand Wash - AOS Liquid</t>
  </si>
  <si>
    <t xml:space="preserve">Stability trial - passed. Commercial discussions on-going with vendor on payment terms (vendor is asking for Advance). </t>
  </si>
  <si>
    <t>April - 2016</t>
  </si>
  <si>
    <t>March 2017</t>
  </si>
  <si>
    <t xml:space="preserve">Doy Care Cucumber &amp; Sandal SKUs are to be discontinued </t>
  </si>
  <si>
    <t xml:space="preserve">Creative for Co-Ex Tube 50ml - from Essel Propack to Creative Packaging </t>
  </si>
  <si>
    <t>Nov 2016</t>
  </si>
  <si>
    <t>Oct 2017</t>
  </si>
  <si>
    <t>Procurement started at Bhandora Chemicals 3P, Baddi manufacturerer.
Ranajeet to provide figures next month</t>
  </si>
  <si>
    <t>Basic cost - same. Saving on excise/CST + freight</t>
  </si>
  <si>
    <t>Jun 2016</t>
  </si>
  <si>
    <t>May 2017</t>
  </si>
  <si>
    <t>Cost saving - change of paper suppliers</t>
  </si>
  <si>
    <r>
      <t xml:space="preserve">Ask Dinesh Kabra from Daman team - </t>
    </r>
    <r>
      <rPr>
        <b/>
        <sz val="12"/>
        <color theme="1"/>
        <rFont val="Arial"/>
        <family val="2"/>
      </rPr>
      <t>Done</t>
    </r>
  </si>
  <si>
    <r>
      <t xml:space="preserve">Ask Riju and Sanjib - </t>
    </r>
    <r>
      <rPr>
        <b/>
        <sz val="12"/>
        <color theme="1"/>
        <rFont val="Arial"/>
        <family val="2"/>
      </rPr>
      <t>Done</t>
    </r>
  </si>
  <si>
    <r>
      <t xml:space="preserve">Ask Laxmidhar Barik when BOM will be updated - </t>
    </r>
    <r>
      <rPr>
        <b/>
        <sz val="12"/>
        <color theme="1"/>
        <rFont val="Arial"/>
        <family val="2"/>
      </rPr>
      <t>Done</t>
    </r>
  </si>
  <si>
    <r>
      <t xml:space="preserve">Ask Laxmidhar Barik when trial will start - </t>
    </r>
    <r>
      <rPr>
        <b/>
        <sz val="12"/>
        <color theme="1"/>
        <rFont val="Arial"/>
        <family val="2"/>
      </rPr>
      <t>Done</t>
    </r>
  </si>
  <si>
    <t>Ask Laxmidhar Barik when BOM will be updated - Done</t>
  </si>
  <si>
    <t>For Doy Care Face Wash: Aloe Vera, Neem, Honey - substitute Kathon C.G. with nothing</t>
  </si>
  <si>
    <t>For Doy Care Face Wash: Aloe Vera, Neem, Honey - substitute Kathon C.G. with Microcare ITO</t>
  </si>
  <si>
    <t>934.52 for Aloe Vera and Neem
467.26 for Honey</t>
  </si>
  <si>
    <t>560.23 for Aloe Vera and Neem
280.12 for Honey</t>
  </si>
  <si>
    <t xml:space="preserve">Reduction of wastages in manufacturing &amp; handling of noodles
</t>
  </si>
  <si>
    <t xml:space="preserve">Cost savings in Electrical power and fuel -Daman
</t>
  </si>
  <si>
    <t xml:space="preserve">Productivity Improvement- Daman
</t>
  </si>
  <si>
    <t xml:space="preserve">Distillation yield improvements over standards by improving DOS, adjustment of reflux ratios, maintenance of process parameters e.g. temp, vacuum within controls
</t>
  </si>
  <si>
    <t xml:space="preserve">EHDP &amp; EDTA are current preservative used in Noodles which will be replaced by Sodium Gluconate .Sodium Gluconate can individually can substitute both material
</t>
  </si>
  <si>
    <t xml:space="preserve">Sorbitol 70%
</t>
  </si>
  <si>
    <t xml:space="preserve">Electrical energy savings through various initiatives
</t>
  </si>
  <si>
    <t xml:space="preserve">Additional Savings - Daman
</t>
  </si>
  <si>
    <t xml:space="preserve">Storage of AOS Liquids in Daman Saving
</t>
  </si>
  <si>
    <t xml:space="preserve">Stiffener with 8GSM Poly
</t>
  </si>
  <si>
    <t xml:space="preserve">BOPP film 20 micron to 18 micron.
</t>
  </si>
  <si>
    <t xml:space="preserve">Bactershield Hand Wash - DMDM Hydantonin from Clariant to KIP Chemicals 
</t>
  </si>
  <si>
    <t xml:space="preserve">Metalized carton,  board replacement from Carte-lumina to ITC whiteback ( This is principally discussed &amp; Agreed by Marketing (Sunil Pandey)  with increase in GSM/Bulk. 
</t>
  </si>
  <si>
    <t xml:space="preserve">BS Reformulation Grade -3 soap , with 18 % Moisture similar to Lifebuoy
</t>
  </si>
  <si>
    <t xml:space="preserve">Commercial feasibility of PK Olein
</t>
  </si>
  <si>
    <t xml:space="preserve">CNO Value Addition
</t>
  </si>
  <si>
    <t xml:space="preserve">DOY CARE Emami Board (Equivalent to Carte Lumina) 50g, 75g &amp; 125g 
</t>
  </si>
  <si>
    <t>Oct 2016</t>
  </si>
  <si>
    <t>Sep 2017</t>
  </si>
  <si>
    <t>Projection for FY 16-17</t>
  </si>
  <si>
    <t>Dec 2017</t>
  </si>
  <si>
    <t>On hold due to small savings</t>
  </si>
  <si>
    <t>No risk because glycerin and sorbitol are 1-1 replaceable up to 5% at mixer level</t>
  </si>
  <si>
    <t>Stability, consumer trials, etc. all passed</t>
  </si>
  <si>
    <t xml:space="preserve">Talc (Cal.carbonate) (RNCC)
</t>
  </si>
  <si>
    <t>April 2016</t>
  </si>
  <si>
    <t>Pravin Santhur in charge of user trial
On hold due to small savings
Risk: colour and odour may change, however based on study by Pravin, this is not the case</t>
  </si>
  <si>
    <t>Groundwork started. Project closed: Capex is 7.2 lacs and projected annual savings is 4.2 lacs - ROI does not justify project investment
In between there was strategic call to shift liquid CPD products to 3P for fiscal benefit</t>
  </si>
  <si>
    <t>Update on JO variations: R&amp;D Team to provide samples of the following JO variation soaps:
- 55g Jo soap
- Grade 3 soap
- Using refined neutral oil for Jo mini noodles
Business Finance calculated cost savings: INR 2.5 cr (Business Finance needs to calculate how much saving from removing these two processes)?
CPD Marketing Team to take decision once samples are provided</t>
  </si>
  <si>
    <t>Next time: add status on each project and calculate estimated savings for rest of the year</t>
  </si>
  <si>
    <t xml:space="preserve">JO Main -Extract &amp; additives opitimization-JO, BS, Minis, DCPC
</t>
  </si>
  <si>
    <t>Continue tracking prices</t>
  </si>
  <si>
    <t xml:space="preserve">TCC
</t>
  </si>
  <si>
    <t>MOM - 2 December 2016
Meeting Attendees: Subrata Debnath, Pratyaya Chakrabarti, Dr. Vadiraj Ekkundi, Amit Shukla, Aniket Pai, Vivek Desai, Sunil Singh, Ranajeet Desai and Khushnam Joshi</t>
  </si>
  <si>
    <t xml:space="preserve">Removal of projects that are not CIP:
- For plant CIP initiatives: projects where saving is considered using difference of wastage allowed vs. actual wastage can only be CIP if there are measurable cost improvements from L.Y. 
- For packaging procurement: projects where savings is considered using budgeted cost of new material vs. actual cost cannot be considered because there is no actual saving, only theoretical 
- For Strategic oil: 'Elimination of 2nd Distillation' project is not CIP
Instead, these projects can be acknowledged in Business Review meetings as achievements made by teams/individuals </t>
  </si>
  <si>
    <t>To conduct a separate activity to identify how cost improvements will effect P&amp;L</t>
  </si>
  <si>
    <t xml:space="preserve">Subrata/  Pratyaya </t>
  </si>
  <si>
    <t>Not considered as CIP</t>
  </si>
  <si>
    <t xml:space="preserve">Laxmidhar/ Vishal Pathak/ </t>
  </si>
  <si>
    <t xml:space="preserve">Risk damage of removal of Doy inner carton to be assessed adequately prior to taking this project for CIP.
Vishal to provide risk assessment method by end of this week. </t>
  </si>
  <si>
    <t xml:space="preserve">Note - Caustic soda forward cover: there are no forward cover charges and no inventory carrying cost as the storage tanks belong to VVF.  The calculation of cost saving is conservative-- market rates used are lower than actual market rates at the time.
</t>
  </si>
  <si>
    <t>Purchase/ R&amp;D</t>
  </si>
  <si>
    <t>Dr. Vadiraj</t>
  </si>
  <si>
    <t>Trai Order to be planned. BOM updation pending from R&amp;D. - No demand for Doy Care</t>
  </si>
  <si>
    <t xml:space="preserve">
Trials have been conducted, packaging development team has given go-ahead for procurement. Code has been generated, but pending to be updated in BOM. 
No demand</t>
  </si>
  <si>
    <t>Testing over by August end, implementation by september. Trial failed.</t>
  </si>
  <si>
    <t xml:space="preserve">DOY CARE 125g x4 display pack, Removing inner carton
</t>
  </si>
  <si>
    <t>Jo mini - Reformulation</t>
  </si>
  <si>
    <t xml:space="preserve">Storage stability and internal pannel testing cleared by R&amp;D. R&amp;D has provided all documents to CPD Marketing Team. Existing wrapper is still in stock, new formulation will be used when existing wrapper is consumed. </t>
  </si>
  <si>
    <t>Follow Up Meeting MOM - 9 September 2016
Meeting Attendees: Amit Shukla and Khushnam Joshi</t>
  </si>
  <si>
    <t>MOM - 9 January 2017
Meeting Attendees: Pratyaya Chakrabarti, S. Kanan, Amarjit Mishra, Vivek Pawaskar, Sunil Singh, Ranajeet Desai, Madhavan D., Amit Shukla,  Subrata Debnath, and Khushnam Joshi</t>
  </si>
  <si>
    <t>Amit, Madhavan and Sunil</t>
  </si>
  <si>
    <t xml:space="preserve">Update on Soya Acid Oil project: 
- Amit has given oil specs to Madhavan for procurement
- Once oil is procured, coordination required with Sunil for testing product at plant (single distillation and double distillation will be done)
        1) Method 1 - Single distillation - Split--&gt; Distill--&gt; Hydrogenate
        2) Method 2 - Double distillation - Split--&gt; Distill--&gt; Distill--&gt; Hydrogenate
- By 13 Jan 2017, soap using method 2 will be made in Pilot Plant 
- Savings currently around 7,000-8,000 per MT </t>
  </si>
  <si>
    <t>Packaging - Jo 30gm replace wrapper pack with flow wrap:
- Sunil to check existing capability of production in plant
- 20 MT to be provided monthly to Amarjit over the next 3 months 
- Ranajeet to check if Khosla can provide machine on rent for 6 months</t>
  </si>
  <si>
    <t xml:space="preserve">Doy Care Multi-Carton MTO pack - Simulation test report and results to be discussed in next CIP meeting. </t>
  </si>
  <si>
    <t xml:space="preserve">Jo 100X8 CIP project to be finalised </t>
  </si>
  <si>
    <t>Amit; Madhavan</t>
  </si>
  <si>
    <t>Additional projects initiated by R&amp;D:
- Jo 55GM reformulation to Bactershield formulation
- Jo mini reformulation</t>
  </si>
  <si>
    <t>Amit Shukla</t>
  </si>
  <si>
    <t>Ranajeet Desai</t>
  </si>
  <si>
    <t>Laxmidhar Barik</t>
  </si>
  <si>
    <t xml:space="preserve">Jo 50GM - Reformulation to BS formulation </t>
  </si>
  <si>
    <t>As on January '17</t>
  </si>
  <si>
    <t xml:space="preserve">R&amp;D has updated procedure of processing Soya Acid Oil. New process is being tested. </t>
  </si>
  <si>
    <t>Testing over by August end, implementation by september
Dosage as per BOM reduced to amount that makes cost saving not viable</t>
  </si>
  <si>
    <t xml:space="preserve">Experiments were initiated in pilot plant and storage stability test started on 16 Nov 2016. Test will be completed in 1.5 months from start date. </t>
  </si>
  <si>
    <t>Rayomand M./ Dr. Vadiraj</t>
  </si>
  <si>
    <t>Possible new projects:
- Amit to look into using hydrogenated PFAD instead of PS
- Initiation of solvent CNO bleaching project</t>
  </si>
  <si>
    <t xml:space="preserve">Steam consumption reduction through initiatives e.g. reduction of steam in tanker unloading, controls on line blowing, reduction of steam pressure for vacuum system, increased feed rate in DFA &amp; noodles plant, condensate recovery, optimization of steam consumption in talc sterilization/
Manpower utilisation improvement - Baddi
</t>
  </si>
  <si>
    <t>Vibration test result from outside lab will be received by 31.01.2017. New size carton artwork approved by vendor</t>
  </si>
  <si>
    <t>New Packaging Development project to be replaced with old CIP project - Laxmidhar to confirm and provide details
(Jo 100X8 and Doy Care MTO pack)</t>
  </si>
  <si>
    <t xml:space="preserve">Project production will start by Feb '17. </t>
  </si>
  <si>
    <t>Estimate Q4 16-17</t>
  </si>
  <si>
    <t>Update on Soya Acid Oil project: 
- Savings estimated as per 'Soya Acid Oil' sheet in CIP tracker
- Data required on stability test--Dr. Vadiraj will send all details
- Target is to get 50 IV in plant
- Amit to finalise and close process
- 100 MT of oil to be procured by 6 February 2017</t>
  </si>
  <si>
    <t>Packaging - Jo 30gm replace wrapper pack with flow wrap:
Samples will be received by 3-Feb-17 and production of final product targeted for 01-Mar-17. 
- Sunil to check existing capability of production in plant
- Ranajeet to check if Khosla can provide machine on rent, if not 20 MT to be provided monthly to Amarjit using VVF machines</t>
  </si>
  <si>
    <t>Sunil Singh, Ranajeet Desai</t>
  </si>
  <si>
    <t>Amit, Madhavan and Sunil Singh</t>
  </si>
  <si>
    <t>New projects: R&amp;D (Sunil Singh will take charge of the following projects)
- Hydrogenated &amp; Distilled PFAD to replace PS
- Solvent CNO bleaching</t>
  </si>
  <si>
    <t xml:space="preserve">Additional projects initiated by R&amp;D:
Jo mini and 55GM reformulation to Bactershield formulation:
- Cost saving is calculated and added to CIP tracking sheet
- Internal panel testing to be performed as soon as possible
</t>
  </si>
  <si>
    <t>FY16-17 Q4 cost saving estimates to be revised for Strategic Oil (due to change in CNO prices).</t>
  </si>
  <si>
    <t>S. Kannan, Madhavan</t>
  </si>
  <si>
    <t>MOM - 27 January 2017
Meeting Attendees: Pratyaya Chakrabarti, S. Kanan, Amarjit Mishra, Rayomand Mirzan, Sunil Singh, Ranajeet Desai, Subrata Debnath, Laxmidhar Barik and Khushnam Joshi</t>
  </si>
  <si>
    <t xml:space="preserve">Oriflame Auto-Sleeving Project:
- Debashish provided Oriflame powder quantity - 747 MT (Jan to Aug 2017 based on confirmed orders till April and tentative orders till August)
- Sunil Singh to confirm wastage %
- Ranajeet to confirm capital cost </t>
  </si>
  <si>
    <t xml:space="preserve">This is no longer viable - RBFAD is cheaper than RBO 20% FFA
</t>
  </si>
  <si>
    <t>Done. Impact on full year estimate: 43.66 lacs less than YTD Dec'16 estimate</t>
  </si>
  <si>
    <t>Internal panel testing is positive. Samples will be given for market research by 27th of February.</t>
  </si>
  <si>
    <t>- Sunil Singh has confirmed capability of producing 29-45 MT per month in plant
- Khosla is considering option of renting machines
- Samples were received on 17-Feb-17</t>
  </si>
  <si>
    <t>-Wastage calculated by business for the following months:
October (4%), November (7%), December (5%), January (3%)
- Capital cost is 16.5 lacs + tax</t>
  </si>
  <si>
    <t>Aug -17</t>
  </si>
  <si>
    <t>Estimate 
16-17 (Mar)</t>
  </si>
  <si>
    <r>
      <t xml:space="preserve">Consumer testing results were positive. Next step - project meeting to be held for plant to implement.
As on March 2017 - Wrapper and dye connectivity to factory is pending. Launch by </t>
    </r>
    <r>
      <rPr>
        <b/>
        <sz val="12"/>
        <rFont val="Arial"/>
        <family val="2"/>
      </rPr>
      <t>1st week of May '17</t>
    </r>
  </si>
  <si>
    <r>
      <t xml:space="preserve">Consumer test results were positive for using BS formulation. Khushnam to calculate total saving. R&amp;D has initiated storage stability after preparing sample. Storage stability to be completed by 10 Feb. 2017.
As on 29 March 2017 - Samples are given for consumer test. Launch by </t>
    </r>
    <r>
      <rPr>
        <b/>
        <sz val="12"/>
        <color theme="1"/>
        <rFont val="Arial"/>
        <family val="2"/>
      </rPr>
      <t>Jun '17</t>
    </r>
  </si>
  <si>
    <t>Follow up</t>
  </si>
  <si>
    <t>Update on Pending Projects - 31 March 2017</t>
  </si>
  <si>
    <t>Jo Mini - Wrapper Pack project</t>
  </si>
  <si>
    <t>Project</t>
  </si>
  <si>
    <t>Bactershield Handwash Cost Saving formulation</t>
  </si>
  <si>
    <t xml:space="preserve">Update </t>
  </si>
  <si>
    <t>- TLD details shared with plant
- Sample run conducted by plant
- Samples shared with Marketing team
- Commercial trial completed</t>
  </si>
  <si>
    <t>- New BOM updated on 8 March 
- Savings to start next month</t>
  </si>
  <si>
    <t>Oriflame - cost saving proposals</t>
  </si>
  <si>
    <t>Meeting with Oriflame to discuss projects scheduled for early March</t>
  </si>
  <si>
    <t>Oriflame - auto-sleeving project</t>
  </si>
  <si>
    <t xml:space="preserve">Update pending from Mr. Aniket Pai </t>
  </si>
  <si>
    <t xml:space="preserve">Soya Acid Oil </t>
  </si>
  <si>
    <t>Project on hold</t>
  </si>
  <si>
    <t>Nivea cost saving project</t>
  </si>
  <si>
    <t>Nivea soap packaging cost saving</t>
  </si>
  <si>
    <t>Process automation and cost saving</t>
  </si>
  <si>
    <t>On hold until final plant destination for machine is confirmed - Vivek</t>
  </si>
  <si>
    <t>Samples produced at factory, commercial trial complete, final packaging art work is being developed</t>
  </si>
  <si>
    <t>Oriflame - auto-sleeving of talcum powder bottles</t>
  </si>
  <si>
    <t>Powder</t>
  </si>
  <si>
    <t>Tetmosol - replacing shrink sleeve with shrink film</t>
  </si>
  <si>
    <t>Change in D-Mart soap packaging - wrapper and stiffner as per JO 50gm soap</t>
  </si>
  <si>
    <t>Oriflame - new supplier for talc cap</t>
  </si>
  <si>
    <t>MOM - 31 March 2017
Meeting Attendees: Pratyaya Chakrabarti, Vilas Kakade, Rayomand Mirzan, Sunil Singh, Vadiraj Ekkundi, Amit Shukla, Madhavan, Ranajeet Desai, and Subrata Debnath</t>
  </si>
  <si>
    <r>
      <rPr>
        <b/>
        <sz val="11"/>
        <color theme="1"/>
        <rFont val="Calibri"/>
        <family val="2"/>
        <scheme val="minor"/>
      </rPr>
      <t xml:space="preserve">Soya Acid Oil - next step:
</t>
    </r>
    <r>
      <rPr>
        <sz val="11"/>
        <color theme="1"/>
        <rFont val="Calibri"/>
        <family val="2"/>
        <scheme val="minor"/>
      </rPr>
      <t>- Strategic oil team will procure 100MT for Taloja for processing DFA
- Taloja will send DFA to Baddi for trial</t>
    </r>
  </si>
  <si>
    <r>
      <rPr>
        <b/>
        <sz val="11"/>
        <color theme="1"/>
        <rFont val="Calibri"/>
        <family val="2"/>
        <scheme val="minor"/>
      </rPr>
      <t xml:space="preserve">Replacing PKO with Mix of SPKO &amp; Distilled PKFAD - next step:
- </t>
    </r>
    <r>
      <rPr>
        <sz val="11"/>
        <color theme="1"/>
        <rFont val="Calibri"/>
        <family val="2"/>
        <scheme val="minor"/>
      </rPr>
      <t>Baddi will take a trial and send soaps to R&amp;D for stability</t>
    </r>
  </si>
  <si>
    <r>
      <rPr>
        <b/>
        <sz val="11"/>
        <color theme="1"/>
        <rFont val="Calibri"/>
        <family val="2"/>
        <scheme val="minor"/>
      </rPr>
      <t>In-house SCI replacing imported SCI - next step:</t>
    </r>
    <r>
      <rPr>
        <sz val="11"/>
        <color theme="1"/>
        <rFont val="Calibri"/>
        <family val="2"/>
        <scheme val="minor"/>
      </rPr>
      <t xml:space="preserve">
- Taloja will send SCI to R&amp;D for pilot plant trial. R&amp;D will prepare trial once pilot plant is ready (mid April)
</t>
    </r>
  </si>
  <si>
    <t xml:space="preserve">List of upcoming CIP projects for consideration:
1) Soya Acid Oil - initiate trial of 100MT in Taloja
2) Replacing PKO with Mix of SPKO &amp; Distilled PKFAD - redistilled and used in all white soaps 
3) RPO/PS/PFAD - cost saving on imports at 20% FFA
4) In-house SCI will replace J&amp;J imported noodles/Amway/ Truth
5) Harmonization of syndet formulation
6) Harmonization of AL noodles 
7) Swing process cost saving of RBDPS (used for AL noodles) - removing spliting and distillation
</t>
  </si>
  <si>
    <r>
      <rPr>
        <b/>
        <sz val="11"/>
        <color theme="1"/>
        <rFont val="Calibri"/>
        <family val="2"/>
        <scheme val="minor"/>
      </rPr>
      <t>Swing Process RBDPS - next step:</t>
    </r>
    <r>
      <rPr>
        <sz val="11"/>
        <color theme="1"/>
        <rFont val="Calibri"/>
        <family val="2"/>
        <scheme val="minor"/>
      </rPr>
      <t xml:space="preserve">
- R&amp;D will give BOM to Business Finance for cost saving
- Madhavan has sent 15kg RBDPS to Taloja for processing. Processed material will be sent to R&amp;D for stability. </t>
    </r>
  </si>
  <si>
    <t>Purchasing CIP projects - CMB marketing team will approach clients for cost saving projects and revert</t>
  </si>
  <si>
    <t>Actual Savings (YTD March 17)</t>
  </si>
  <si>
    <t>Projection for 
FY 16-17 as on Feb '17</t>
  </si>
  <si>
    <t xml:space="preserve">Projection vs. Actual </t>
  </si>
  <si>
    <t>YTD March 2017</t>
  </si>
  <si>
    <t>Estimated</t>
  </si>
  <si>
    <t>As on Feb 17</t>
  </si>
  <si>
    <t>Estimate Vs. Actual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</si>
</sst>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_(* #,##0_);_(* \(#,##0\);_(* &quot;-&quot;??_);_(@_)"/>
  </numFmts>
  <fonts count="14"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Arial"/>
      <family val="2"/>
    </font>
    <font>
      <sz val="12"/>
      <color theme="1"/>
      <name val="Arial"/>
      <family val="2"/>
    </font>
    <font>
      <sz val="12"/>
      <color rgb="FFFF0000"/>
      <name val="Arial"/>
      <family val="2"/>
    </font>
    <font>
      <b/>
      <sz val="12"/>
      <color theme="0"/>
      <name val="Arial"/>
      <family val="2"/>
    </font>
    <font>
      <sz val="9"/>
      <color indexed="81"/>
      <name val="Tahoma"/>
      <family val="2"/>
    </font>
    <font>
      <b/>
      <sz val="9"/>
      <color indexed="81"/>
      <name val="Tahoma"/>
      <family val="2"/>
    </font>
    <font>
      <sz val="12"/>
      <name val="Arial"/>
      <family val="2"/>
    </font>
    <font>
      <b/>
      <sz val="10"/>
      <color theme="1"/>
      <name val="Arial"/>
      <family val="2"/>
    </font>
    <font>
      <b/>
      <sz val="10"/>
      <name val="Arial"/>
      <family val="2"/>
    </font>
    <font>
      <b/>
      <sz val="10"/>
      <color rgb="FFFF0000"/>
      <name val="Arial"/>
      <family val="2"/>
    </font>
    <font>
      <b/>
      <sz val="12"/>
      <name val="Arial"/>
      <family val="2"/>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rgb="FF92D050"/>
        <bgColor indexed="64"/>
      </patternFill>
    </fill>
    <fill>
      <patternFill patternType="solid">
        <fgColor rgb="FF002060"/>
        <bgColor indexed="64"/>
      </patternFill>
    </fill>
    <fill>
      <patternFill patternType="solid">
        <fgColor rgb="FF00B050"/>
        <bgColor indexed="64"/>
      </patternFill>
    </fill>
    <fill>
      <patternFill patternType="solid">
        <fgColor rgb="FFFF5050"/>
        <bgColor indexed="64"/>
      </patternFill>
    </fill>
    <fill>
      <patternFill patternType="solid">
        <fgColor theme="0" tint="-0.14999847407452621"/>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20">
    <xf numFmtId="0" fontId="0" fillId="0" borderId="0" xfId="0"/>
    <xf numFmtId="0" fontId="2" fillId="0" borderId="0" xfId="0" applyFont="1"/>
    <xf numFmtId="0" fontId="0" fillId="0" borderId="0" xfId="0" applyAlignment="1">
      <alignment horizontal="center"/>
    </xf>
    <xf numFmtId="0" fontId="3" fillId="2" borderId="2" xfId="0" applyFont="1" applyFill="1" applyBorder="1"/>
    <xf numFmtId="0" fontId="3" fillId="2" borderId="3" xfId="0" applyFont="1" applyFill="1" applyBorder="1"/>
    <xf numFmtId="0" fontId="3" fillId="0" borderId="3" xfId="0" applyFont="1" applyFill="1" applyBorder="1"/>
    <xf numFmtId="165" fontId="3" fillId="2" borderId="3" xfId="1" applyNumberFormat="1" applyFont="1" applyFill="1" applyBorder="1"/>
    <xf numFmtId="0" fontId="4" fillId="0" borderId="0" xfId="0" applyFont="1"/>
    <xf numFmtId="0" fontId="3" fillId="2" borderId="5" xfId="0" applyFont="1" applyFill="1" applyBorder="1"/>
    <xf numFmtId="0" fontId="3" fillId="2" borderId="0" xfId="0" applyFont="1" applyFill="1" applyBorder="1"/>
    <xf numFmtId="0" fontId="3" fillId="0" borderId="0" xfId="0" applyFont="1" applyFill="1" applyBorder="1"/>
    <xf numFmtId="165" fontId="3" fillId="2" borderId="0" xfId="1" applyNumberFormat="1" applyFont="1" applyFill="1" applyBorder="1"/>
    <xf numFmtId="0" fontId="4" fillId="0" borderId="0" xfId="0" applyFont="1" applyFill="1"/>
    <xf numFmtId="0" fontId="4" fillId="0" borderId="1" xfId="0" applyFont="1" applyBorder="1" applyAlignment="1">
      <alignment horizontal="center" vertical="center"/>
    </xf>
    <xf numFmtId="0" fontId="4" fillId="0" borderId="1" xfId="0" applyFont="1" applyFill="1" applyBorder="1" applyAlignment="1">
      <alignment horizontal="center" vertical="center" wrapText="1"/>
    </xf>
    <xf numFmtId="0" fontId="4" fillId="0" borderId="1" xfId="0" applyFont="1" applyBorder="1" applyAlignment="1">
      <alignment horizontal="left" vertical="center" wrapText="1"/>
    </xf>
    <xf numFmtId="164" fontId="4" fillId="0" borderId="1" xfId="1" applyFont="1" applyBorder="1" applyAlignment="1">
      <alignment horizontal="center" vertical="center"/>
    </xf>
    <xf numFmtId="165" fontId="4" fillId="0" borderId="1" xfId="1" applyNumberFormat="1" applyFont="1" applyBorder="1" applyAlignment="1">
      <alignment horizontal="center" vertical="center"/>
    </xf>
    <xf numFmtId="0" fontId="4" fillId="0" borderId="1" xfId="0" applyFont="1" applyBorder="1" applyAlignment="1">
      <alignment horizontal="center" vertical="center" wrapText="1"/>
    </xf>
    <xf numFmtId="0" fontId="5" fillId="0" borderId="1" xfId="0" applyFont="1" applyBorder="1" applyAlignment="1">
      <alignment horizontal="center" vertical="center"/>
    </xf>
    <xf numFmtId="0" fontId="5" fillId="0" borderId="0" xfId="0" applyFont="1"/>
    <xf numFmtId="0" fontId="4" fillId="0" borderId="1" xfId="0" applyFont="1" applyBorder="1" applyAlignment="1">
      <alignment vertical="center" wrapText="1"/>
    </xf>
    <xf numFmtId="14" fontId="4" fillId="0" borderId="1" xfId="0" quotePrefix="1" applyNumberFormat="1" applyFont="1" applyBorder="1" applyAlignment="1">
      <alignment horizontal="center" vertical="center"/>
    </xf>
    <xf numFmtId="14" fontId="4" fillId="0" borderId="1" xfId="0" applyNumberFormat="1" applyFont="1" applyBorder="1" applyAlignment="1">
      <alignment horizontal="center" vertical="center"/>
    </xf>
    <xf numFmtId="0" fontId="4" fillId="0" borderId="1" xfId="0" applyFont="1" applyFill="1" applyBorder="1" applyAlignment="1">
      <alignment vertical="center" wrapText="1"/>
    </xf>
    <xf numFmtId="0" fontId="5" fillId="0" borderId="1" xfId="0" applyFont="1" applyFill="1" applyBorder="1" applyAlignment="1">
      <alignment horizontal="center" vertical="center" wrapText="1"/>
    </xf>
    <xf numFmtId="0" fontId="5" fillId="0" borderId="1" xfId="0" applyFont="1" applyBorder="1" applyAlignment="1">
      <alignment horizontal="left" vertical="center" wrapText="1"/>
    </xf>
    <xf numFmtId="164" fontId="5" fillId="0" borderId="1" xfId="1" applyFont="1" applyBorder="1" applyAlignment="1">
      <alignment horizontal="center" vertical="center"/>
    </xf>
    <xf numFmtId="165" fontId="5" fillId="0" borderId="1" xfId="1" applyNumberFormat="1" applyFont="1" applyBorder="1" applyAlignment="1">
      <alignment horizontal="center" vertical="center"/>
    </xf>
    <xf numFmtId="0" fontId="5" fillId="0" borderId="1" xfId="0" applyFont="1" applyBorder="1" applyAlignment="1">
      <alignment horizontal="center" vertical="center" wrapText="1"/>
    </xf>
    <xf numFmtId="0" fontId="5" fillId="0" borderId="1" xfId="0" applyFont="1" applyBorder="1" applyAlignment="1">
      <alignment vertical="center" wrapText="1"/>
    </xf>
    <xf numFmtId="165" fontId="4" fillId="0" borderId="0" xfId="1" applyNumberFormat="1" applyFont="1"/>
    <xf numFmtId="0" fontId="4" fillId="0" borderId="0" xfId="0" applyFont="1" applyAlignment="1">
      <alignment horizontal="left"/>
    </xf>
    <xf numFmtId="0" fontId="3" fillId="2" borderId="3" xfId="0" applyFont="1" applyFill="1" applyBorder="1" applyAlignment="1">
      <alignment horizontal="center"/>
    </xf>
    <xf numFmtId="0" fontId="3" fillId="2" borderId="0" xfId="0" applyFont="1" applyFill="1" applyBorder="1" applyAlignment="1">
      <alignment horizontal="center"/>
    </xf>
    <xf numFmtId="0" fontId="4" fillId="0" borderId="0" xfId="0" applyFont="1" applyAlignment="1">
      <alignment horizontal="center"/>
    </xf>
    <xf numFmtId="165" fontId="3" fillId="0" borderId="0" xfId="1" applyNumberFormat="1" applyFont="1"/>
    <xf numFmtId="0" fontId="3" fillId="2" borderId="3" xfId="0" applyFont="1" applyFill="1" applyBorder="1" applyAlignment="1">
      <alignment horizontal="right"/>
    </xf>
    <xf numFmtId="0" fontId="3" fillId="2" borderId="0" xfId="0" applyFont="1" applyFill="1" applyBorder="1" applyAlignment="1">
      <alignment horizontal="right"/>
    </xf>
    <xf numFmtId="165" fontId="4" fillId="0" borderId="1" xfId="1" quotePrefix="1" applyNumberFormat="1" applyFont="1" applyBorder="1" applyAlignment="1">
      <alignment horizontal="right" vertical="center"/>
    </xf>
    <xf numFmtId="165" fontId="4" fillId="0" borderId="1" xfId="1" applyNumberFormat="1" applyFont="1" applyBorder="1" applyAlignment="1">
      <alignment horizontal="right" vertical="center"/>
    </xf>
    <xf numFmtId="0" fontId="4" fillId="0" borderId="0" xfId="0" applyFont="1" applyAlignment="1">
      <alignment horizontal="right"/>
    </xf>
    <xf numFmtId="0" fontId="0" fillId="0" borderId="1" xfId="0" applyBorder="1"/>
    <xf numFmtId="0" fontId="0" fillId="0" borderId="1" xfId="0" applyFont="1" applyBorder="1" applyAlignment="1">
      <alignment vertical="top" wrapText="1"/>
    </xf>
    <xf numFmtId="0" fontId="0" fillId="0" borderId="1" xfId="0" applyBorder="1" applyAlignment="1">
      <alignment vertical="top" wrapText="1"/>
    </xf>
    <xf numFmtId="0" fontId="2" fillId="0" borderId="1" xfId="0" applyFont="1" applyBorder="1"/>
    <xf numFmtId="0" fontId="0" fillId="0" borderId="1" xfId="0" applyBorder="1" applyAlignment="1">
      <alignment horizontal="right" vertical="top"/>
    </xf>
    <xf numFmtId="16" fontId="0" fillId="0" borderId="1" xfId="0" applyNumberFormat="1" applyBorder="1" applyAlignment="1">
      <alignment horizontal="right" vertical="top"/>
    </xf>
    <xf numFmtId="0" fontId="0" fillId="0" borderId="1" xfId="0" applyBorder="1" applyAlignment="1">
      <alignment wrapText="1"/>
    </xf>
    <xf numFmtId="0" fontId="2" fillId="0" borderId="1" xfId="0" applyFont="1" applyBorder="1" applyAlignment="1">
      <alignment vertical="center"/>
    </xf>
    <xf numFmtId="16" fontId="0" fillId="0" borderId="1" xfId="0" applyNumberFormat="1" applyBorder="1" applyAlignment="1">
      <alignment horizontal="right" vertical="top" wrapText="1"/>
    </xf>
    <xf numFmtId="16" fontId="0" fillId="0" borderId="1" xfId="0" applyNumberFormat="1" applyBorder="1"/>
    <xf numFmtId="0" fontId="0" fillId="0" borderId="1" xfId="0" applyBorder="1" applyAlignment="1">
      <alignment horizontal="right" vertical="top" wrapText="1"/>
    </xf>
    <xf numFmtId="16" fontId="0" fillId="0" borderId="1" xfId="0" applyNumberFormat="1" applyBorder="1" applyAlignment="1">
      <alignment vertical="top"/>
    </xf>
    <xf numFmtId="0" fontId="2" fillId="0" borderId="1" xfId="0" applyFont="1" applyBorder="1" applyAlignment="1">
      <alignment wrapText="1"/>
    </xf>
    <xf numFmtId="0" fontId="2" fillId="0" borderId="0" xfId="0" applyFont="1" applyAlignment="1">
      <alignment wrapText="1"/>
    </xf>
    <xf numFmtId="165" fontId="3" fillId="2" borderId="0" xfId="1" applyNumberFormat="1" applyFont="1" applyFill="1" applyBorder="1" applyAlignment="1">
      <alignment horizontal="right"/>
    </xf>
    <xf numFmtId="0" fontId="4" fillId="0" borderId="9" xfId="0" applyFont="1" applyBorder="1" applyAlignment="1">
      <alignment horizontal="center" vertical="center"/>
    </xf>
    <xf numFmtId="0" fontId="4" fillId="0" borderId="10" xfId="0" applyFont="1" applyBorder="1" applyAlignment="1">
      <alignment horizontal="center" vertical="center"/>
    </xf>
    <xf numFmtId="0" fontId="4" fillId="0" borderId="11" xfId="0" applyFont="1" applyFill="1" applyBorder="1" applyAlignment="1">
      <alignment horizontal="center" vertical="center" wrapText="1"/>
    </xf>
    <xf numFmtId="0" fontId="4" fillId="0" borderId="11" xfId="0" applyFont="1" applyBorder="1" applyAlignment="1">
      <alignment horizontal="center" vertical="center"/>
    </xf>
    <xf numFmtId="0" fontId="4" fillId="0" borderId="11" xfId="0" applyFont="1" applyBorder="1" applyAlignment="1">
      <alignment horizontal="left" vertical="center" wrapText="1"/>
    </xf>
    <xf numFmtId="164" fontId="4" fillId="0" borderId="11" xfId="1" applyFont="1" applyBorder="1" applyAlignment="1">
      <alignment horizontal="center" vertical="center"/>
    </xf>
    <xf numFmtId="165" fontId="4" fillId="0" borderId="11" xfId="1" applyNumberFormat="1" applyFont="1" applyBorder="1" applyAlignment="1">
      <alignment horizontal="center" vertical="center"/>
    </xf>
    <xf numFmtId="0" fontId="4" fillId="0" borderId="11" xfId="0" applyFont="1" applyBorder="1" applyAlignment="1">
      <alignment horizontal="center" vertical="center" wrapText="1"/>
    </xf>
    <xf numFmtId="0" fontId="6" fillId="2" borderId="0" xfId="0" applyFont="1" applyFill="1" applyBorder="1" applyAlignment="1">
      <alignment horizontal="left"/>
    </xf>
    <xf numFmtId="0" fontId="2" fillId="0" borderId="1" xfId="0" applyFont="1" applyFill="1" applyBorder="1"/>
    <xf numFmtId="0" fontId="0" fillId="0" borderId="1" xfId="0" quotePrefix="1" applyBorder="1" applyAlignment="1">
      <alignment wrapText="1"/>
    </xf>
    <xf numFmtId="0" fontId="0" fillId="4" borderId="0" xfId="0" applyFill="1"/>
    <xf numFmtId="0" fontId="2" fillId="4" borderId="1" xfId="0" applyFont="1" applyFill="1" applyBorder="1"/>
    <xf numFmtId="16" fontId="0" fillId="4" borderId="1" xfId="0" applyNumberFormat="1" applyFill="1" applyBorder="1" applyAlignment="1">
      <alignment vertical="top"/>
    </xf>
    <xf numFmtId="0" fontId="0" fillId="4" borderId="1" xfId="0" applyFill="1" applyBorder="1" applyAlignment="1">
      <alignment horizontal="right" vertical="top" wrapText="1"/>
    </xf>
    <xf numFmtId="16" fontId="0" fillId="4" borderId="1" xfId="0" applyNumberFormat="1" applyFill="1" applyBorder="1"/>
    <xf numFmtId="16" fontId="0" fillId="4" borderId="1" xfId="0" applyNumberFormat="1" applyFill="1" applyBorder="1" applyAlignment="1">
      <alignment horizontal="right" vertical="top" wrapText="1"/>
    </xf>
    <xf numFmtId="16" fontId="0" fillId="4" borderId="1" xfId="0" applyNumberFormat="1" applyFill="1" applyBorder="1" applyAlignment="1">
      <alignment horizontal="right" vertical="top"/>
    </xf>
    <xf numFmtId="0" fontId="0" fillId="4" borderId="1" xfId="0" applyFill="1" applyBorder="1" applyAlignment="1">
      <alignment horizontal="right" vertical="top"/>
    </xf>
    <xf numFmtId="0" fontId="0" fillId="4" borderId="1" xfId="0" applyFill="1" applyBorder="1"/>
    <xf numFmtId="17" fontId="4" fillId="0" borderId="1" xfId="0" applyNumberFormat="1" applyFont="1" applyBorder="1" applyAlignment="1">
      <alignment horizontal="center" vertical="center" wrapText="1"/>
    </xf>
    <xf numFmtId="165" fontId="4" fillId="0" borderId="1" xfId="1" applyNumberFormat="1" applyFont="1" applyBorder="1" applyAlignment="1">
      <alignment horizontal="center" vertical="center" wrapText="1"/>
    </xf>
    <xf numFmtId="17" fontId="5" fillId="0" borderId="1" xfId="0" applyNumberFormat="1" applyFont="1" applyBorder="1" applyAlignment="1">
      <alignment horizontal="center" vertical="center"/>
    </xf>
    <xf numFmtId="0" fontId="9" fillId="0" borderId="1" xfId="0" applyFont="1" applyBorder="1" applyAlignment="1">
      <alignment horizontal="center" vertical="center" wrapText="1"/>
    </xf>
    <xf numFmtId="165" fontId="4" fillId="0" borderId="1" xfId="1" applyNumberFormat="1" applyFont="1" applyBorder="1" applyAlignment="1">
      <alignment vertical="center"/>
    </xf>
    <xf numFmtId="164" fontId="4" fillId="0" borderId="1" xfId="1" applyFont="1" applyBorder="1" applyAlignment="1">
      <alignment horizontal="center" vertical="center" wrapText="1"/>
    </xf>
    <xf numFmtId="0" fontId="4" fillId="0" borderId="1" xfId="0" applyFont="1" applyFill="1" applyBorder="1" applyAlignment="1">
      <alignment horizontal="left" vertical="center" wrapText="1"/>
    </xf>
    <xf numFmtId="0" fontId="5" fillId="0" borderId="1" xfId="0" applyFont="1" applyFill="1" applyBorder="1" applyAlignment="1">
      <alignment vertical="center" wrapText="1"/>
    </xf>
    <xf numFmtId="0" fontId="6" fillId="7" borderId="7" xfId="0" applyFont="1" applyFill="1" applyBorder="1" applyAlignment="1">
      <alignment horizontal="center" vertical="center"/>
    </xf>
    <xf numFmtId="0" fontId="6" fillId="7" borderId="8" xfId="0" applyFont="1" applyFill="1" applyBorder="1" applyAlignment="1">
      <alignment horizontal="center" vertical="center"/>
    </xf>
    <xf numFmtId="0" fontId="6" fillId="7" borderId="8" xfId="0" applyFont="1" applyFill="1" applyBorder="1" applyAlignment="1">
      <alignment horizontal="center" vertical="center" wrapText="1"/>
    </xf>
    <xf numFmtId="165" fontId="6" fillId="7" borderId="8" xfId="1" applyNumberFormat="1" applyFont="1" applyFill="1" applyBorder="1" applyAlignment="1">
      <alignment horizontal="center" vertical="center" wrapText="1"/>
    </xf>
    <xf numFmtId="0" fontId="6" fillId="7" borderId="8" xfId="0" applyFont="1" applyFill="1" applyBorder="1" applyAlignment="1">
      <alignment horizontal="left" vertical="center" wrapText="1"/>
    </xf>
    <xf numFmtId="0" fontId="6" fillId="7" borderId="12" xfId="0" applyFont="1" applyFill="1" applyBorder="1" applyAlignment="1">
      <alignment horizontal="left" vertical="center" wrapText="1"/>
    </xf>
    <xf numFmtId="165" fontId="3" fillId="0" borderId="1" xfId="1" applyNumberFormat="1" applyFont="1" applyFill="1" applyBorder="1" applyAlignment="1">
      <alignment horizontal="center" vertical="center" wrapText="1"/>
    </xf>
    <xf numFmtId="165" fontId="3" fillId="0" borderId="1" xfId="1" applyNumberFormat="1" applyFont="1" applyFill="1" applyBorder="1" applyAlignment="1">
      <alignment horizontal="center" vertical="center"/>
    </xf>
    <xf numFmtId="165" fontId="3" fillId="0" borderId="11" xfId="1" applyNumberFormat="1" applyFont="1" applyFill="1" applyBorder="1" applyAlignment="1">
      <alignment horizontal="center" vertical="center"/>
    </xf>
    <xf numFmtId="165" fontId="6" fillId="6" borderId="8" xfId="1" applyNumberFormat="1" applyFont="1" applyFill="1" applyBorder="1" applyAlignment="1">
      <alignment horizontal="center" vertical="center" wrapText="1"/>
    </xf>
    <xf numFmtId="17" fontId="4" fillId="0" borderId="1" xfId="0" quotePrefix="1" applyNumberFormat="1" applyFont="1" applyBorder="1" applyAlignment="1">
      <alignment horizontal="center" vertical="center"/>
    </xf>
    <xf numFmtId="14" fontId="4" fillId="0" borderId="1" xfId="0" quotePrefix="1" applyNumberFormat="1" applyFont="1" applyBorder="1" applyAlignment="1">
      <alignment vertical="center"/>
    </xf>
    <xf numFmtId="14" fontId="4" fillId="0" borderId="1" xfId="0" applyNumberFormat="1" applyFont="1" applyBorder="1" applyAlignment="1">
      <alignment vertical="center"/>
    </xf>
    <xf numFmtId="0" fontId="4" fillId="0" borderId="15" xfId="0" applyFont="1" applyBorder="1" applyAlignment="1">
      <alignment vertical="center" wrapText="1"/>
    </xf>
    <xf numFmtId="0" fontId="4" fillId="0" borderId="1" xfId="0" applyFont="1" applyBorder="1" applyAlignment="1">
      <alignment vertical="center"/>
    </xf>
    <xf numFmtId="165" fontId="4" fillId="3" borderId="1" xfId="1" applyNumberFormat="1" applyFont="1" applyFill="1" applyBorder="1" applyAlignment="1">
      <alignment vertical="center"/>
    </xf>
    <xf numFmtId="14" fontId="5" fillId="0" borderId="1" xfId="0" applyNumberFormat="1" applyFont="1" applyBorder="1" applyAlignment="1">
      <alignment horizontal="center" vertical="center"/>
    </xf>
    <xf numFmtId="14" fontId="5" fillId="0" borderId="1" xfId="0" applyNumberFormat="1" applyFont="1" applyBorder="1" applyAlignment="1">
      <alignment vertical="center"/>
    </xf>
    <xf numFmtId="14" fontId="5" fillId="0" borderId="1" xfId="0" quotePrefix="1" applyNumberFormat="1" applyFont="1" applyBorder="1" applyAlignment="1">
      <alignment horizontal="center" vertical="center"/>
    </xf>
    <xf numFmtId="0" fontId="5" fillId="0" borderId="1" xfId="0" applyFont="1" applyBorder="1" applyAlignment="1">
      <alignment vertical="center"/>
    </xf>
    <xf numFmtId="165" fontId="4" fillId="0" borderId="11" xfId="1" applyNumberFormat="1" applyFont="1" applyBorder="1" applyAlignment="1">
      <alignment vertical="center"/>
    </xf>
    <xf numFmtId="14" fontId="4" fillId="0" borderId="11" xfId="0" applyNumberFormat="1" applyFont="1" applyBorder="1" applyAlignment="1">
      <alignment horizontal="center" vertical="center"/>
    </xf>
    <xf numFmtId="14" fontId="4" fillId="0" borderId="11" xfId="0" applyNumberFormat="1" applyFont="1" applyBorder="1" applyAlignment="1">
      <alignment vertical="center"/>
    </xf>
    <xf numFmtId="14" fontId="4" fillId="0" borderId="11" xfId="0" quotePrefix="1" applyNumberFormat="1" applyFont="1" applyBorder="1" applyAlignment="1">
      <alignment horizontal="center" vertical="center"/>
    </xf>
    <xf numFmtId="0" fontId="4" fillId="0" borderId="11" xfId="0" applyFont="1" applyBorder="1" applyAlignment="1">
      <alignment vertical="center" wrapText="1"/>
    </xf>
    <xf numFmtId="0" fontId="4" fillId="0" borderId="14" xfId="0" applyFont="1" applyBorder="1" applyAlignment="1">
      <alignment vertical="center" wrapText="1"/>
    </xf>
    <xf numFmtId="17" fontId="4" fillId="0" borderId="1" xfId="0" quotePrefix="1" applyNumberFormat="1" applyFont="1" applyBorder="1" applyAlignment="1">
      <alignment horizontal="center" vertical="center" wrapText="1"/>
    </xf>
    <xf numFmtId="14" fontId="4" fillId="0" borderId="1" xfId="0" quotePrefix="1" applyNumberFormat="1" applyFont="1" applyBorder="1" applyAlignment="1">
      <alignment horizontal="center" vertical="center" wrapText="1"/>
    </xf>
    <xf numFmtId="165" fontId="4" fillId="0" borderId="1" xfId="1" applyNumberFormat="1" applyFont="1" applyFill="1" applyBorder="1" applyAlignment="1">
      <alignment vertical="center"/>
    </xf>
    <xf numFmtId="165" fontId="9" fillId="0" borderId="1" xfId="1" applyNumberFormat="1" applyFont="1" applyBorder="1" applyAlignment="1">
      <alignment horizontal="center" vertical="center"/>
    </xf>
    <xf numFmtId="0" fontId="4" fillId="0" borderId="1" xfId="0" applyFont="1" applyFill="1" applyBorder="1" applyAlignment="1">
      <alignment vertical="top" wrapText="1"/>
    </xf>
    <xf numFmtId="0" fontId="4" fillId="0" borderId="11" xfId="0" applyFont="1" applyFill="1" applyBorder="1" applyAlignment="1">
      <alignment vertical="center"/>
    </xf>
    <xf numFmtId="165" fontId="4" fillId="0" borderId="11" xfId="1" applyNumberFormat="1" applyFont="1" applyBorder="1" applyAlignment="1">
      <alignment horizontal="right" vertical="center"/>
    </xf>
    <xf numFmtId="0" fontId="0" fillId="0" borderId="1" xfId="0" applyBorder="1" applyAlignment="1">
      <alignment vertical="center" wrapText="1"/>
    </xf>
    <xf numFmtId="0" fontId="0" fillId="0" borderId="1" xfId="0" applyBorder="1" applyAlignment="1">
      <alignment vertical="center"/>
    </xf>
    <xf numFmtId="0" fontId="0" fillId="0" borderId="1" xfId="0" applyFill="1" applyBorder="1" applyAlignment="1">
      <alignment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ill="1" applyBorder="1" applyAlignment="1">
      <alignment wrapText="1"/>
    </xf>
    <xf numFmtId="15" fontId="0" fillId="0" borderId="1" xfId="0" applyNumberFormat="1" applyBorder="1" applyAlignment="1">
      <alignment vertical="center"/>
    </xf>
    <xf numFmtId="0" fontId="4" fillId="0" borderId="16" xfId="0" applyFont="1" applyBorder="1" applyAlignment="1">
      <alignment vertical="center" wrapText="1"/>
    </xf>
    <xf numFmtId="0" fontId="4" fillId="0" borderId="16" xfId="0" applyFont="1" applyBorder="1" applyAlignment="1">
      <alignment vertical="center"/>
    </xf>
    <xf numFmtId="0" fontId="5" fillId="0" borderId="16" xfId="0" applyFont="1" applyBorder="1" applyAlignment="1">
      <alignment vertical="center" wrapText="1"/>
    </xf>
    <xf numFmtId="0" fontId="4" fillId="0" borderId="16" xfId="0" quotePrefix="1" applyFont="1" applyBorder="1" applyAlignment="1">
      <alignment vertical="center" wrapText="1"/>
    </xf>
    <xf numFmtId="0" fontId="4" fillId="0" borderId="1" xfId="0" applyFont="1" applyBorder="1"/>
    <xf numFmtId="165" fontId="3" fillId="0" borderId="1" xfId="1" applyNumberFormat="1" applyFont="1" applyBorder="1"/>
    <xf numFmtId="0" fontId="6" fillId="7" borderId="17" xfId="0" applyFont="1" applyFill="1" applyBorder="1" applyAlignment="1">
      <alignment horizontal="left" vertical="center" wrapText="1"/>
    </xf>
    <xf numFmtId="0" fontId="4" fillId="0" borderId="18" xfId="0" applyFont="1" applyBorder="1" applyAlignment="1">
      <alignment vertical="center"/>
    </xf>
    <xf numFmtId="165" fontId="3" fillId="0" borderId="0" xfId="0" applyNumberFormat="1" applyFont="1"/>
    <xf numFmtId="165" fontId="3" fillId="0" borderId="0" xfId="1" applyNumberFormat="1" applyFont="1" applyFill="1"/>
    <xf numFmtId="0" fontId="4" fillId="0" borderId="19" xfId="0" applyFont="1" applyFill="1" applyBorder="1" applyAlignment="1">
      <alignment vertical="center" wrapText="1"/>
    </xf>
    <xf numFmtId="0" fontId="4" fillId="0" borderId="19" xfId="0" applyFont="1" applyFill="1" applyBorder="1" applyAlignment="1">
      <alignment horizontal="center" vertical="center" wrapText="1"/>
    </xf>
    <xf numFmtId="0" fontId="4" fillId="0" borderId="19" xfId="0" applyFont="1" applyBorder="1" applyAlignment="1">
      <alignment horizontal="center" vertical="center"/>
    </xf>
    <xf numFmtId="164" fontId="4" fillId="0" borderId="19" xfId="1" applyFont="1" applyBorder="1" applyAlignment="1">
      <alignment horizontal="center" vertical="center"/>
    </xf>
    <xf numFmtId="165" fontId="4" fillId="0" borderId="19" xfId="1" applyNumberFormat="1" applyFont="1" applyBorder="1" applyAlignment="1">
      <alignment vertical="center"/>
    </xf>
    <xf numFmtId="165" fontId="4" fillId="0" borderId="19" xfId="1" applyNumberFormat="1" applyFont="1" applyBorder="1" applyAlignment="1">
      <alignment horizontal="center" vertical="center"/>
    </xf>
    <xf numFmtId="165" fontId="3" fillId="0" borderId="19" xfId="1" applyNumberFormat="1" applyFont="1" applyFill="1" applyBorder="1" applyAlignment="1">
      <alignment horizontal="center" vertical="center"/>
    </xf>
    <xf numFmtId="165" fontId="4" fillId="0" borderId="19" xfId="1" applyNumberFormat="1" applyFont="1" applyBorder="1" applyAlignment="1">
      <alignment horizontal="right" vertical="center"/>
    </xf>
    <xf numFmtId="0" fontId="4" fillId="0" borderId="19" xfId="0" applyFont="1" applyBorder="1" applyAlignment="1">
      <alignment horizontal="center" vertical="center" wrapText="1"/>
    </xf>
    <xf numFmtId="14" fontId="4" fillId="0" borderId="19" xfId="0" applyNumberFormat="1" applyFont="1" applyBorder="1" applyAlignment="1">
      <alignment horizontal="center" vertical="center"/>
    </xf>
    <xf numFmtId="14" fontId="4" fillId="0" borderId="19" xfId="0" applyNumberFormat="1" applyFont="1" applyBorder="1" applyAlignment="1">
      <alignment vertical="center"/>
    </xf>
    <xf numFmtId="14" fontId="4" fillId="0" borderId="19" xfId="0" quotePrefix="1" applyNumberFormat="1" applyFont="1" applyBorder="1" applyAlignment="1">
      <alignment horizontal="center" vertical="center"/>
    </xf>
    <xf numFmtId="0" fontId="4" fillId="0" borderId="19" xfId="0" applyFont="1" applyBorder="1" applyAlignment="1">
      <alignment vertical="center" wrapText="1"/>
    </xf>
    <xf numFmtId="0" fontId="4" fillId="0" borderId="20" xfId="0" applyFont="1" applyBorder="1" applyAlignment="1">
      <alignment vertical="center"/>
    </xf>
    <xf numFmtId="0" fontId="0" fillId="0" borderId="21" xfId="0" applyFill="1" applyBorder="1" applyAlignment="1">
      <alignment vertical="top" wrapText="1"/>
    </xf>
    <xf numFmtId="0" fontId="0" fillId="0" borderId="19" xfId="0" applyBorder="1" applyAlignment="1">
      <alignment vertical="center"/>
    </xf>
    <xf numFmtId="15" fontId="0" fillId="0" borderId="19" xfId="0" applyNumberFormat="1" applyBorder="1" applyAlignment="1">
      <alignment vertical="center"/>
    </xf>
    <xf numFmtId="15" fontId="0" fillId="0" borderId="1" xfId="0" applyNumberFormat="1" applyBorder="1"/>
    <xf numFmtId="165" fontId="5" fillId="0" borderId="19" xfId="1" applyNumberFormat="1" applyFont="1" applyBorder="1" applyAlignment="1">
      <alignment horizontal="center" vertical="center"/>
    </xf>
    <xf numFmtId="0" fontId="10" fillId="0" borderId="13" xfId="0" applyFont="1" applyBorder="1" applyAlignment="1">
      <alignment vertical="center" wrapText="1"/>
    </xf>
    <xf numFmtId="0" fontId="10" fillId="5" borderId="13" xfId="0" applyFont="1" applyFill="1" applyBorder="1" applyAlignment="1">
      <alignment vertical="center" wrapText="1"/>
    </xf>
    <xf numFmtId="0" fontId="11" fillId="0" borderId="13" xfId="0" applyFont="1" applyBorder="1" applyAlignment="1">
      <alignment vertical="center" wrapText="1"/>
    </xf>
    <xf numFmtId="0" fontId="12" fillId="0" borderId="13" xfId="0" applyFont="1" applyBorder="1" applyAlignment="1">
      <alignment vertical="center" wrapText="1"/>
    </xf>
    <xf numFmtId="0" fontId="10" fillId="0" borderId="2" xfId="0" applyFont="1" applyBorder="1" applyAlignment="1">
      <alignment vertical="center" wrapText="1"/>
    </xf>
    <xf numFmtId="0" fontId="4" fillId="0" borderId="3" xfId="0" applyFont="1" applyBorder="1" applyAlignment="1">
      <alignment horizontal="center" vertical="center"/>
    </xf>
    <xf numFmtId="0" fontId="4" fillId="0" borderId="3" xfId="0" applyFont="1" applyBorder="1" applyAlignment="1">
      <alignment vertical="center"/>
    </xf>
    <xf numFmtId="0" fontId="10" fillId="0" borderId="1" xfId="0" applyFont="1" applyBorder="1" applyAlignment="1">
      <alignment vertical="center" wrapText="1"/>
    </xf>
    <xf numFmtId="0" fontId="4" fillId="2" borderId="4" xfId="0" applyFont="1" applyFill="1" applyBorder="1" applyAlignment="1">
      <alignment horizontal="left"/>
    </xf>
    <xf numFmtId="0" fontId="4" fillId="2" borderId="6" xfId="0" applyFont="1" applyFill="1" applyBorder="1" applyAlignment="1">
      <alignment horizontal="left"/>
    </xf>
    <xf numFmtId="0" fontId="6" fillId="8" borderId="1" xfId="0" applyFont="1" applyFill="1" applyBorder="1" applyAlignment="1">
      <alignment horizontal="left" vertical="center" wrapText="1"/>
    </xf>
    <xf numFmtId="0" fontId="4" fillId="9" borderId="1" xfId="0" applyFont="1" applyFill="1" applyBorder="1" applyAlignment="1">
      <alignment vertical="center" wrapText="1"/>
    </xf>
    <xf numFmtId="0" fontId="0" fillId="0" borderId="19" xfId="0" applyBorder="1" applyAlignment="1">
      <alignment vertical="center" wrapText="1"/>
    </xf>
    <xf numFmtId="0" fontId="4" fillId="0" borderId="19" xfId="0" applyFont="1" applyBorder="1" applyAlignment="1">
      <alignment horizontal="left" vertical="center" wrapText="1"/>
    </xf>
    <xf numFmtId="165" fontId="3" fillId="0" borderId="19" xfId="1" applyNumberFormat="1" applyFont="1" applyFill="1" applyBorder="1" applyAlignment="1">
      <alignment horizontal="center" vertical="center" wrapText="1"/>
    </xf>
    <xf numFmtId="165" fontId="3" fillId="3" borderId="1" xfId="1" applyNumberFormat="1" applyFont="1" applyFill="1" applyBorder="1" applyAlignment="1">
      <alignment horizontal="center" vertical="center"/>
    </xf>
    <xf numFmtId="0" fontId="0" fillId="0" borderId="0" xfId="0" applyAlignment="1">
      <alignment vertical="top" wrapText="1"/>
    </xf>
    <xf numFmtId="0" fontId="0" fillId="0" borderId="0" xfId="0" quotePrefix="1" applyAlignment="1">
      <alignment vertical="top" wrapText="1"/>
    </xf>
    <xf numFmtId="0" fontId="9" fillId="0" borderId="1" xfId="0" applyFont="1" applyBorder="1" applyAlignment="1">
      <alignment vertical="center" wrapText="1"/>
    </xf>
    <xf numFmtId="0" fontId="0" fillId="0" borderId="6" xfId="0" applyBorder="1"/>
    <xf numFmtId="9" fontId="0" fillId="0" borderId="6" xfId="2" applyFont="1" applyBorder="1"/>
    <xf numFmtId="0" fontId="2" fillId="0" borderId="6" xfId="0" applyFont="1" applyBorder="1"/>
    <xf numFmtId="0" fontId="2" fillId="0" borderId="21" xfId="0" applyFont="1" applyFill="1" applyBorder="1"/>
    <xf numFmtId="0" fontId="2" fillId="0" borderId="22" xfId="0" applyFont="1" applyBorder="1"/>
    <xf numFmtId="0" fontId="2" fillId="0" borderId="23" xfId="0" applyFont="1" applyBorder="1"/>
    <xf numFmtId="0" fontId="2" fillId="0" borderId="24" xfId="0" applyFont="1" applyBorder="1"/>
    <xf numFmtId="0" fontId="0" fillId="0" borderId="25" xfId="0" applyBorder="1"/>
    <xf numFmtId="0" fontId="0" fillId="0" borderId="26" xfId="0" applyBorder="1"/>
    <xf numFmtId="0" fontId="0" fillId="0" borderId="27" xfId="0" quotePrefix="1" applyBorder="1" applyAlignment="1">
      <alignment wrapText="1"/>
    </xf>
    <xf numFmtId="0" fontId="0" fillId="0" borderId="28" xfId="0" applyBorder="1"/>
    <xf numFmtId="0" fontId="0" fillId="0" borderId="0" xfId="0" applyBorder="1"/>
    <xf numFmtId="0" fontId="0" fillId="0" borderId="29" xfId="0" quotePrefix="1" applyBorder="1" applyAlignment="1">
      <alignment wrapText="1"/>
    </xf>
    <xf numFmtId="0" fontId="0" fillId="0" borderId="29" xfId="0" applyBorder="1" applyAlignment="1">
      <alignment wrapText="1"/>
    </xf>
    <xf numFmtId="0" fontId="0" fillId="0" borderId="29" xfId="0" applyBorder="1"/>
    <xf numFmtId="0" fontId="0" fillId="0" borderId="30" xfId="0" applyBorder="1"/>
    <xf numFmtId="0" fontId="0" fillId="0" borderId="31" xfId="0" applyBorder="1"/>
    <xf numFmtId="0" fontId="0" fillId="0" borderId="32" xfId="0" applyBorder="1"/>
    <xf numFmtId="0" fontId="4" fillId="0" borderId="1" xfId="0" quotePrefix="1" applyFont="1" applyBorder="1" applyAlignment="1">
      <alignment vertical="center" wrapText="1"/>
    </xf>
    <xf numFmtId="0" fontId="2" fillId="0" borderId="0" xfId="0" applyFont="1" applyFill="1" applyBorder="1"/>
    <xf numFmtId="0" fontId="2" fillId="0" borderId="2" xfId="0" applyFont="1" applyBorder="1"/>
    <xf numFmtId="0" fontId="0" fillId="0" borderId="3" xfId="0" applyBorder="1"/>
    <xf numFmtId="0" fontId="2" fillId="0" borderId="3" xfId="0" applyFont="1" applyBorder="1" applyAlignment="1">
      <alignment horizontal="center"/>
    </xf>
    <xf numFmtId="0" fontId="0" fillId="0" borderId="4" xfId="0" applyBorder="1"/>
    <xf numFmtId="0" fontId="2" fillId="0" borderId="3" xfId="0" applyFont="1" applyBorder="1"/>
    <xf numFmtId="0" fontId="2" fillId="0" borderId="4" xfId="0" applyFont="1" applyBorder="1"/>
    <xf numFmtId="0" fontId="2" fillId="0" borderId="5" xfId="0" applyFont="1" applyBorder="1"/>
    <xf numFmtId="0" fontId="2" fillId="0" borderId="0" xfId="0" applyFont="1" applyBorder="1"/>
    <xf numFmtId="165" fontId="0" fillId="0" borderId="0" xfId="1" applyNumberFormat="1" applyFont="1" applyBorder="1"/>
    <xf numFmtId="165" fontId="0" fillId="0" borderId="0" xfId="1" applyNumberFormat="1" applyFont="1" applyBorder="1" applyAlignment="1">
      <alignment horizontal="center"/>
    </xf>
    <xf numFmtId="165" fontId="0" fillId="0" borderId="0" xfId="0" applyNumberFormat="1" applyBorder="1"/>
    <xf numFmtId="165" fontId="0" fillId="0" borderId="6" xfId="0" applyNumberFormat="1" applyBorder="1"/>
    <xf numFmtId="165" fontId="0" fillId="0" borderId="0" xfId="1" applyNumberFormat="1" applyFont="1" applyFill="1" applyBorder="1" applyAlignment="1">
      <alignment horizontal="center"/>
    </xf>
    <xf numFmtId="165" fontId="2" fillId="0" borderId="0" xfId="1" applyNumberFormat="1" applyFont="1" applyBorder="1" applyAlignment="1">
      <alignment horizontal="center"/>
    </xf>
    <xf numFmtId="0" fontId="0" fillId="0" borderId="0" xfId="0" applyBorder="1" applyAlignment="1">
      <alignment wrapText="1"/>
    </xf>
    <xf numFmtId="165" fontId="2" fillId="0" borderId="0" xfId="1" applyNumberFormat="1" applyFont="1" applyBorder="1"/>
    <xf numFmtId="165" fontId="2" fillId="0" borderId="0" xfId="0" applyNumberFormat="1" applyFont="1" applyBorder="1"/>
    <xf numFmtId="0" fontId="2" fillId="0" borderId="33" xfId="0" applyFont="1" applyBorder="1"/>
    <xf numFmtId="0" fontId="0" fillId="0" borderId="34" xfId="0" applyBorder="1"/>
    <xf numFmtId="0" fontId="0" fillId="0" borderId="35" xfId="0" applyBorder="1"/>
    <xf numFmtId="0" fontId="2" fillId="0" borderId="19" xfId="0" applyFont="1" applyBorder="1" applyAlignment="1">
      <alignment horizontal="center"/>
    </xf>
    <xf numFmtId="0" fontId="2" fillId="0" borderId="21" xfId="0" applyFont="1" applyBorder="1" applyAlignment="1">
      <alignment horizontal="center"/>
    </xf>
    <xf numFmtId="0" fontId="0" fillId="0" borderId="21" xfId="0" applyBorder="1" applyAlignment="1">
      <alignment horizontal="center"/>
    </xf>
    <xf numFmtId="165" fontId="0" fillId="0" borderId="21" xfId="1" applyNumberFormat="1" applyFont="1" applyBorder="1" applyAlignment="1">
      <alignment horizontal="center"/>
    </xf>
    <xf numFmtId="165" fontId="2" fillId="10" borderId="21" xfId="1" applyNumberFormat="1" applyFont="1" applyFill="1" applyBorder="1" applyAlignment="1">
      <alignment horizontal="center"/>
    </xf>
    <xf numFmtId="165" fontId="2" fillId="0" borderId="21" xfId="1" applyNumberFormat="1" applyFont="1" applyBorder="1" applyAlignment="1">
      <alignment horizontal="center"/>
    </xf>
    <xf numFmtId="0" fontId="0" fillId="0" borderId="36" xfId="0" applyBorder="1" applyAlignment="1">
      <alignment horizontal="center"/>
    </xf>
  </cellXfs>
  <cellStyles count="3">
    <cellStyle name="Comma" xfId="1" builtinId="3"/>
    <cellStyle name="Normal" xfId="0" builtinId="0"/>
    <cellStyle name="Percent" xfId="2" builtinId="5"/>
  </cellStyles>
  <dxfs count="8">
    <dxf>
      <font>
        <b/>
        <i val="0"/>
        <strike val="0"/>
        <color theme="0"/>
      </font>
      <fill>
        <patternFill>
          <bgColor theme="1"/>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92D050"/>
        </patternFill>
      </fill>
    </dxf>
    <dxf>
      <fill>
        <patternFill>
          <bgColor rgb="FFFF0000"/>
        </patternFill>
      </fill>
    </dxf>
    <dxf>
      <fill>
        <patternFill>
          <bgColor rgb="FF00B0F0"/>
        </patternFill>
      </fill>
    </dxf>
    <dxf>
      <fill>
        <patternFill>
          <bgColor theme="9" tint="0.39994506668294322"/>
        </patternFill>
      </fill>
    </dxf>
    <dxf>
      <fill>
        <patternFill>
          <bgColor rgb="FFFFC000"/>
        </patternFill>
      </fill>
    </dxf>
    <dxf>
      <fill>
        <patternFill>
          <bgColor rgb="FF92D050"/>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AC72"/>
  <sheetViews>
    <sheetView topLeftCell="B1" zoomScale="80" zoomScaleNormal="80" workbookViewId="0">
      <pane xSplit="4" ySplit="4" topLeftCell="F5" activePane="bottomRight" state="frozen"/>
      <selection activeCell="B1" sqref="B1"/>
      <selection pane="topRight" activeCell="E1" sqref="E1"/>
      <selection pane="bottomLeft" activeCell="B5" sqref="B5"/>
      <selection pane="bottomRight" activeCell="A4" sqref="A4"/>
    </sheetView>
  </sheetViews>
  <sheetFormatPr defaultRowHeight="15.75" x14ac:dyDescent="0.25"/>
  <cols>
    <col min="1" max="1" width="9.140625" style="7"/>
    <col min="2" max="2" width="8.140625" style="7" customWidth="1"/>
    <col min="3" max="3" width="12.85546875" style="32" customWidth="1"/>
    <col min="4" max="4" width="41.42578125" style="7" customWidth="1"/>
    <col min="5" max="5" width="13.5703125" style="12" customWidth="1"/>
    <col min="6" max="6" width="19.85546875" style="7" customWidth="1"/>
    <col min="7" max="7" width="10.5703125" style="7" customWidth="1"/>
    <col min="8" max="8" width="15.85546875" style="7" hidden="1" customWidth="1"/>
    <col min="9" max="9" width="18.140625" style="7" customWidth="1"/>
    <col min="10" max="10" width="9.85546875" style="7" customWidth="1"/>
    <col min="11" max="11" width="15" style="7" customWidth="1"/>
    <col min="12" max="12" width="12.5703125" style="31" customWidth="1"/>
    <col min="13" max="13" width="18.28515625" style="31" customWidth="1"/>
    <col min="14" max="14" width="18.42578125" style="31" customWidth="1"/>
    <col min="15" max="15" width="20.5703125" style="134" customWidth="1"/>
    <col min="16" max="16" width="17.140625" style="36" hidden="1" customWidth="1"/>
    <col min="17" max="17" width="16.7109375" style="36" hidden="1" customWidth="1"/>
    <col min="18" max="18" width="10.140625" style="7" customWidth="1"/>
    <col min="19" max="19" width="12.85546875" style="41" customWidth="1"/>
    <col min="20" max="20" width="23" style="7" customWidth="1"/>
    <col min="21" max="21" width="30.7109375" style="35" customWidth="1"/>
    <col min="22" max="22" width="12.42578125" style="7" customWidth="1"/>
    <col min="23" max="23" width="14" style="7" customWidth="1"/>
    <col min="24" max="24" width="12.5703125" style="7" customWidth="1"/>
    <col min="25" max="25" width="16.28515625" style="7" customWidth="1"/>
    <col min="26" max="26" width="42.28515625" style="32" customWidth="1"/>
    <col min="27" max="27" width="92.140625" style="7" hidden="1" customWidth="1"/>
    <col min="28" max="28" width="19.7109375" style="7" customWidth="1"/>
    <col min="29" max="29" width="20" style="7" customWidth="1"/>
    <col min="30" max="16384" width="9.140625" style="7"/>
  </cols>
  <sheetData>
    <row r="1" spans="2:29" x14ac:dyDescent="0.25">
      <c r="B1" s="3" t="s">
        <v>4</v>
      </c>
      <c r="C1" s="65"/>
      <c r="D1" s="4"/>
      <c r="E1" s="5"/>
      <c r="F1" s="4"/>
      <c r="G1" s="4"/>
      <c r="H1" s="4"/>
      <c r="I1" s="4"/>
      <c r="J1" s="4"/>
      <c r="K1" s="4"/>
      <c r="L1" s="6"/>
      <c r="M1" s="6"/>
      <c r="N1" s="6"/>
      <c r="O1" s="6"/>
      <c r="P1" s="6"/>
      <c r="Q1" s="6"/>
      <c r="R1" s="4"/>
      <c r="S1" s="37"/>
      <c r="T1" s="4"/>
      <c r="U1" s="33"/>
      <c r="V1" s="4"/>
      <c r="W1" s="4"/>
      <c r="X1" s="4"/>
      <c r="Y1" s="4"/>
      <c r="Z1" s="162"/>
    </row>
    <row r="2" spans="2:29" x14ac:dyDescent="0.25">
      <c r="B2" s="8"/>
      <c r="C2" s="65"/>
      <c r="D2" s="9"/>
      <c r="E2" s="10"/>
      <c r="F2" s="9"/>
      <c r="G2" s="9"/>
      <c r="H2" s="9"/>
      <c r="I2" s="9"/>
      <c r="J2" s="9"/>
      <c r="K2" s="9"/>
      <c r="L2" s="11"/>
      <c r="M2" s="11"/>
      <c r="N2" s="11"/>
      <c r="O2" s="11"/>
      <c r="P2" s="11"/>
      <c r="Q2" s="11"/>
      <c r="R2" s="9"/>
      <c r="S2" s="38"/>
      <c r="T2" s="9"/>
      <c r="U2" s="34"/>
      <c r="V2" s="9"/>
      <c r="W2" s="9"/>
      <c r="X2" s="9"/>
      <c r="Y2" s="9"/>
      <c r="Z2" s="163"/>
    </row>
    <row r="3" spans="2:29" ht="16.5" thickBot="1" x14ac:dyDescent="0.3">
      <c r="B3" s="8"/>
      <c r="C3" s="65"/>
      <c r="D3" s="9"/>
      <c r="E3" s="10"/>
      <c r="F3" s="9"/>
      <c r="G3" s="9"/>
      <c r="H3" s="9"/>
      <c r="I3" s="9"/>
      <c r="J3" s="9"/>
      <c r="K3" s="9"/>
      <c r="L3" s="11"/>
      <c r="M3" s="133">
        <f>SUBTOTAL(9,M5:M72)</f>
        <v>107577398.23968157</v>
      </c>
      <c r="N3" s="133">
        <f>SUBTOTAL(9,N5:N72)</f>
        <v>63859275.57947775</v>
      </c>
      <c r="O3" s="133">
        <f>SUBTOTAL(9,O5:O72)</f>
        <v>84795664.08860296</v>
      </c>
      <c r="P3" s="11">
        <f>SUBTOTAL(9,P5:P72)</f>
        <v>0</v>
      </c>
      <c r="Q3" s="11">
        <f>SUBTOTAL(9,Q5:Q72)</f>
        <v>84795664.08860296</v>
      </c>
      <c r="R3" s="11"/>
      <c r="S3" s="56"/>
      <c r="T3" s="9"/>
      <c r="U3" s="34"/>
      <c r="V3" s="9"/>
      <c r="W3" s="9"/>
      <c r="X3" s="9"/>
      <c r="Y3" s="9"/>
      <c r="Z3" s="163"/>
      <c r="AB3" s="133">
        <f>SUBTOTAL(9,AB5:AB72)</f>
        <v>84166924.666034594</v>
      </c>
      <c r="AC3" s="133">
        <f>SUBTOTAL(9,AC5:AC72)</f>
        <v>628739.42256838037</v>
      </c>
    </row>
    <row r="4" spans="2:29" ht="47.25" x14ac:dyDescent="0.2">
      <c r="B4" s="85" t="s">
        <v>0</v>
      </c>
      <c r="C4" s="90" t="s">
        <v>159</v>
      </c>
      <c r="D4" s="86" t="s">
        <v>1</v>
      </c>
      <c r="E4" s="86" t="s">
        <v>146</v>
      </c>
      <c r="F4" s="86" t="s">
        <v>41</v>
      </c>
      <c r="G4" s="86" t="s">
        <v>67</v>
      </c>
      <c r="H4" s="86" t="s">
        <v>2</v>
      </c>
      <c r="I4" s="87" t="s">
        <v>147</v>
      </c>
      <c r="J4" s="87" t="s">
        <v>148</v>
      </c>
      <c r="K4" s="87" t="s">
        <v>149</v>
      </c>
      <c r="L4" s="88" t="s">
        <v>150</v>
      </c>
      <c r="M4" s="88" t="s">
        <v>151</v>
      </c>
      <c r="N4" s="88" t="s">
        <v>152</v>
      </c>
      <c r="O4" s="94" t="s">
        <v>361</v>
      </c>
      <c r="P4" s="94" t="s">
        <v>327</v>
      </c>
      <c r="Q4" s="94" t="s">
        <v>257</v>
      </c>
      <c r="R4" s="87" t="s">
        <v>49</v>
      </c>
      <c r="S4" s="87" t="s">
        <v>95</v>
      </c>
      <c r="T4" s="87" t="s">
        <v>153</v>
      </c>
      <c r="U4" s="87" t="s">
        <v>154</v>
      </c>
      <c r="V4" s="87" t="s">
        <v>83</v>
      </c>
      <c r="W4" s="87" t="s">
        <v>155</v>
      </c>
      <c r="X4" s="87" t="s">
        <v>156</v>
      </c>
      <c r="Y4" s="87" t="s">
        <v>157</v>
      </c>
      <c r="Z4" s="89" t="s">
        <v>158</v>
      </c>
      <c r="AA4" s="131" t="s">
        <v>181</v>
      </c>
      <c r="AB4" s="164" t="s">
        <v>362</v>
      </c>
      <c r="AC4" s="164" t="s">
        <v>363</v>
      </c>
    </row>
    <row r="5" spans="2:29" ht="45" x14ac:dyDescent="0.25">
      <c r="B5" s="57">
        <v>1</v>
      </c>
      <c r="C5" s="154" t="s">
        <v>174</v>
      </c>
      <c r="D5" s="24" t="s">
        <v>186</v>
      </c>
      <c r="E5" s="18" t="s">
        <v>77</v>
      </c>
      <c r="F5" s="13" t="s">
        <v>51</v>
      </c>
      <c r="G5" s="13" t="s">
        <v>44</v>
      </c>
      <c r="H5" s="13" t="s">
        <v>16</v>
      </c>
      <c r="I5" s="15" t="s">
        <v>55</v>
      </c>
      <c r="J5" s="13" t="s">
        <v>26</v>
      </c>
      <c r="K5" s="16">
        <v>190000</v>
      </c>
      <c r="L5" s="81">
        <v>70</v>
      </c>
      <c r="M5" s="17">
        <f>L5*K5</f>
        <v>13300000</v>
      </c>
      <c r="N5" s="17">
        <f>M5</f>
        <v>13300000</v>
      </c>
      <c r="O5" s="91">
        <f>24357067.6417308+1274323+1296025</f>
        <v>26927415.6417308</v>
      </c>
      <c r="P5" s="91"/>
      <c r="Q5" s="91">
        <f t="shared" ref="Q5" si="0">O5+P5</f>
        <v>26927415.6417308</v>
      </c>
      <c r="R5" s="28" t="s">
        <v>91</v>
      </c>
      <c r="S5" s="39" t="s">
        <v>97</v>
      </c>
      <c r="T5" s="18"/>
      <c r="U5" s="95">
        <v>42370</v>
      </c>
      <c r="V5" s="95">
        <v>42461</v>
      </c>
      <c r="W5" s="95">
        <v>42795</v>
      </c>
      <c r="X5" s="23"/>
      <c r="Y5" s="22"/>
      <c r="Z5" s="21"/>
      <c r="AA5" s="125" t="s">
        <v>185</v>
      </c>
      <c r="AB5" s="130">
        <v>25631390.6417308</v>
      </c>
      <c r="AC5" s="130">
        <f>O5-AB5</f>
        <v>1296025</v>
      </c>
    </row>
    <row r="6" spans="2:29" ht="45" x14ac:dyDescent="0.25">
      <c r="B6" s="57">
        <v>2</v>
      </c>
      <c r="C6" s="154" t="s">
        <v>160</v>
      </c>
      <c r="D6" s="24" t="s">
        <v>194</v>
      </c>
      <c r="E6" s="14" t="s">
        <v>172</v>
      </c>
      <c r="F6" s="13" t="s">
        <v>191</v>
      </c>
      <c r="G6" s="13" t="s">
        <v>44</v>
      </c>
      <c r="H6" s="13"/>
      <c r="I6" s="15" t="s">
        <v>129</v>
      </c>
      <c r="J6" s="13"/>
      <c r="K6" s="16"/>
      <c r="L6" s="81"/>
      <c r="M6" s="17"/>
      <c r="N6" s="17"/>
      <c r="O6" s="92">
        <f>(10638000+408841)+53212.5+87629+769821</f>
        <v>11957503.5</v>
      </c>
      <c r="P6" s="92"/>
      <c r="Q6" s="91">
        <f t="shared" ref="Q6:Q14" si="1">O6+P6</f>
        <v>11957503.5</v>
      </c>
      <c r="R6" s="17" t="s">
        <v>66</v>
      </c>
      <c r="S6" s="39" t="s">
        <v>97</v>
      </c>
      <c r="T6" s="18" t="s">
        <v>90</v>
      </c>
      <c r="U6" s="23"/>
      <c r="V6" s="97"/>
      <c r="W6" s="23"/>
      <c r="X6" s="23"/>
      <c r="Y6" s="23"/>
      <c r="Z6" s="21"/>
      <c r="AA6" s="126"/>
      <c r="AB6" s="130">
        <v>12109149.272727273</v>
      </c>
      <c r="AC6" s="130">
        <f t="shared" ref="AC6:AC69" si="2">O6-AB6</f>
        <v>-151645.7727272734</v>
      </c>
    </row>
    <row r="7" spans="2:29" ht="60" x14ac:dyDescent="0.25">
      <c r="B7" s="57">
        <v>3</v>
      </c>
      <c r="C7" s="154" t="s">
        <v>174</v>
      </c>
      <c r="D7" s="24" t="s">
        <v>58</v>
      </c>
      <c r="E7" s="18" t="s">
        <v>77</v>
      </c>
      <c r="F7" s="13" t="s">
        <v>51</v>
      </c>
      <c r="G7" s="13" t="s">
        <v>44</v>
      </c>
      <c r="H7" s="13" t="s">
        <v>16</v>
      </c>
      <c r="I7" s="15" t="s">
        <v>55</v>
      </c>
      <c r="J7" s="13" t="s">
        <v>26</v>
      </c>
      <c r="K7" s="78">
        <v>4100</v>
      </c>
      <c r="L7" s="17">
        <v>2255.1800000000012</v>
      </c>
      <c r="M7" s="17">
        <f>K7*L7</f>
        <v>9246238.0000000056</v>
      </c>
      <c r="N7" s="17">
        <f>M7</f>
        <v>9246238.0000000056</v>
      </c>
      <c r="O7" s="91">
        <f>(K7*L7)+2391690</f>
        <v>11637928.000000006</v>
      </c>
      <c r="P7" s="91"/>
      <c r="Q7" s="91">
        <f t="shared" si="1"/>
        <v>11637928.000000006</v>
      </c>
      <c r="R7" s="17" t="s">
        <v>66</v>
      </c>
      <c r="S7" s="39" t="s">
        <v>97</v>
      </c>
      <c r="T7" s="18" t="s">
        <v>193</v>
      </c>
      <c r="U7" s="95">
        <v>42370</v>
      </c>
      <c r="V7" s="95">
        <v>42461</v>
      </c>
      <c r="W7" s="95">
        <v>42795</v>
      </c>
      <c r="X7" s="95">
        <v>42522</v>
      </c>
      <c r="Y7" s="22"/>
      <c r="Z7" s="21"/>
      <c r="AA7" s="125" t="s">
        <v>195</v>
      </c>
      <c r="AB7" s="130">
        <v>9246238.0000000056</v>
      </c>
      <c r="AC7" s="130">
        <f t="shared" si="2"/>
        <v>2391690</v>
      </c>
    </row>
    <row r="8" spans="2:29" ht="45" x14ac:dyDescent="0.25">
      <c r="B8" s="57">
        <v>4</v>
      </c>
      <c r="C8" s="154" t="s">
        <v>174</v>
      </c>
      <c r="D8" s="24" t="s">
        <v>238</v>
      </c>
      <c r="E8" s="14" t="s">
        <v>42</v>
      </c>
      <c r="F8" s="13" t="s">
        <v>190</v>
      </c>
      <c r="G8" s="13" t="s">
        <v>44</v>
      </c>
      <c r="H8" s="13" t="s">
        <v>16</v>
      </c>
      <c r="I8" s="15" t="s">
        <v>55</v>
      </c>
      <c r="J8" s="13"/>
      <c r="K8" s="16"/>
      <c r="L8" s="81"/>
      <c r="M8" s="17">
        <v>5000000</v>
      </c>
      <c r="N8" s="17">
        <v>5000000</v>
      </c>
      <c r="O8" s="92">
        <v>8236873</v>
      </c>
      <c r="P8" s="92"/>
      <c r="Q8" s="91">
        <f t="shared" si="1"/>
        <v>8236873</v>
      </c>
      <c r="R8" s="17" t="s">
        <v>66</v>
      </c>
      <c r="S8" s="39" t="s">
        <v>97</v>
      </c>
      <c r="T8" s="18"/>
      <c r="U8" s="23"/>
      <c r="V8" s="96" t="s">
        <v>263</v>
      </c>
      <c r="W8" s="22" t="s">
        <v>219</v>
      </c>
      <c r="X8" s="23"/>
      <c r="Y8" s="22"/>
      <c r="Z8" s="21"/>
      <c r="AA8" s="126"/>
      <c r="AB8" s="130">
        <v>8985679.6363636367</v>
      </c>
      <c r="AC8" s="130">
        <f t="shared" si="2"/>
        <v>-748806.6363636367</v>
      </c>
    </row>
    <row r="9" spans="2:29" ht="45" x14ac:dyDescent="0.25">
      <c r="B9" s="57">
        <v>5</v>
      </c>
      <c r="C9" s="154" t="s">
        <v>174</v>
      </c>
      <c r="D9" s="24" t="s">
        <v>239</v>
      </c>
      <c r="E9" s="14" t="s">
        <v>42</v>
      </c>
      <c r="F9" s="13" t="s">
        <v>22</v>
      </c>
      <c r="G9" s="13" t="s">
        <v>44</v>
      </c>
      <c r="H9" s="13" t="s">
        <v>16</v>
      </c>
      <c r="I9" s="15" t="s">
        <v>55</v>
      </c>
      <c r="J9" s="13"/>
      <c r="K9" s="16"/>
      <c r="L9" s="81"/>
      <c r="M9" s="17">
        <v>800000</v>
      </c>
      <c r="N9" s="17">
        <v>800000</v>
      </c>
      <c r="O9" s="92">
        <v>2040000</v>
      </c>
      <c r="P9" s="92"/>
      <c r="Q9" s="91">
        <f t="shared" si="1"/>
        <v>2040000</v>
      </c>
      <c r="R9" s="17" t="s">
        <v>66</v>
      </c>
      <c r="S9" s="39" t="s">
        <v>97</v>
      </c>
      <c r="T9" s="18"/>
      <c r="U9" s="23"/>
      <c r="V9" s="96" t="s">
        <v>263</v>
      </c>
      <c r="W9" s="22" t="s">
        <v>219</v>
      </c>
      <c r="X9" s="23"/>
      <c r="Y9" s="22"/>
      <c r="Z9" s="21"/>
      <c r="AA9" s="126"/>
      <c r="AB9" s="130">
        <v>1846909.0909090908</v>
      </c>
      <c r="AC9" s="130">
        <f t="shared" si="2"/>
        <v>193090.90909090918</v>
      </c>
    </row>
    <row r="10" spans="2:29" ht="30" x14ac:dyDescent="0.25">
      <c r="B10" s="57">
        <v>6</v>
      </c>
      <c r="C10" s="154" t="s">
        <v>174</v>
      </c>
      <c r="D10" s="24" t="s">
        <v>240</v>
      </c>
      <c r="E10" s="14" t="s">
        <v>42</v>
      </c>
      <c r="F10" s="13" t="s">
        <v>22</v>
      </c>
      <c r="G10" s="13" t="s">
        <v>44</v>
      </c>
      <c r="H10" s="13" t="s">
        <v>16</v>
      </c>
      <c r="I10" s="15" t="s">
        <v>55</v>
      </c>
      <c r="J10" s="13"/>
      <c r="K10" s="16"/>
      <c r="L10" s="81"/>
      <c r="M10" s="17">
        <v>4500000</v>
      </c>
      <c r="N10" s="17">
        <v>4500000</v>
      </c>
      <c r="O10" s="92">
        <v>3720000</v>
      </c>
      <c r="P10" s="92"/>
      <c r="Q10" s="91">
        <f t="shared" si="1"/>
        <v>3720000</v>
      </c>
      <c r="R10" s="17" t="s">
        <v>66</v>
      </c>
      <c r="S10" s="39" t="s">
        <v>97</v>
      </c>
      <c r="T10" s="18"/>
      <c r="U10" s="23"/>
      <c r="V10" s="96" t="s">
        <v>263</v>
      </c>
      <c r="W10" s="22" t="s">
        <v>219</v>
      </c>
      <c r="X10" s="23"/>
      <c r="Y10" s="22"/>
      <c r="Z10" s="21"/>
      <c r="AA10" s="126"/>
      <c r="AB10" s="130">
        <v>5835272.7272727275</v>
      </c>
      <c r="AC10" s="130">
        <f t="shared" si="2"/>
        <v>-2115272.7272727275</v>
      </c>
    </row>
    <row r="11" spans="2:29" ht="45" x14ac:dyDescent="0.25">
      <c r="B11" s="57">
        <v>7</v>
      </c>
      <c r="C11" s="154" t="s">
        <v>174</v>
      </c>
      <c r="D11" s="83" t="s">
        <v>43</v>
      </c>
      <c r="E11" s="14" t="s">
        <v>20</v>
      </c>
      <c r="F11" s="13" t="s">
        <v>18</v>
      </c>
      <c r="G11" s="13" t="s">
        <v>14</v>
      </c>
      <c r="H11" s="13" t="s">
        <v>16</v>
      </c>
      <c r="I11" s="21" t="s">
        <v>19</v>
      </c>
      <c r="J11" s="13" t="s">
        <v>26</v>
      </c>
      <c r="K11" s="16">
        <v>4000</v>
      </c>
      <c r="L11" s="17">
        <v>600</v>
      </c>
      <c r="M11" s="17">
        <f>K11*L11</f>
        <v>2400000</v>
      </c>
      <c r="N11" s="17">
        <f>M11/12*7</f>
        <v>1400000</v>
      </c>
      <c r="O11" s="92">
        <v>1542511.4403917415</v>
      </c>
      <c r="P11" s="92"/>
      <c r="Q11" s="91">
        <f t="shared" si="1"/>
        <v>1542511.4403917415</v>
      </c>
      <c r="R11" s="78" t="s">
        <v>66</v>
      </c>
      <c r="S11" s="39" t="s">
        <v>97</v>
      </c>
      <c r="T11" s="18" t="s">
        <v>17</v>
      </c>
      <c r="U11" s="111" t="s">
        <v>204</v>
      </c>
      <c r="V11" s="77">
        <v>42309</v>
      </c>
      <c r="W11" s="77">
        <v>42675</v>
      </c>
      <c r="X11" s="77">
        <v>42644</v>
      </c>
      <c r="Y11" s="99"/>
      <c r="Z11" s="21" t="s">
        <v>135</v>
      </c>
      <c r="AA11" s="125" t="s">
        <v>196</v>
      </c>
      <c r="AB11" s="130">
        <v>1542511.4403917415</v>
      </c>
      <c r="AC11" s="130">
        <f t="shared" si="2"/>
        <v>0</v>
      </c>
    </row>
    <row r="12" spans="2:29" ht="30" x14ac:dyDescent="0.25">
      <c r="B12" s="57">
        <v>8</v>
      </c>
      <c r="C12" s="154" t="s">
        <v>174</v>
      </c>
      <c r="D12" s="24" t="s">
        <v>96</v>
      </c>
      <c r="E12" s="14" t="s">
        <v>42</v>
      </c>
      <c r="F12" s="13" t="s">
        <v>190</v>
      </c>
      <c r="G12" s="13" t="s">
        <v>44</v>
      </c>
      <c r="H12" s="13" t="s">
        <v>16</v>
      </c>
      <c r="I12" s="15" t="s">
        <v>55</v>
      </c>
      <c r="J12" s="13"/>
      <c r="K12" s="16"/>
      <c r="L12" s="81"/>
      <c r="M12" s="17">
        <v>301000</v>
      </c>
      <c r="N12" s="17">
        <v>301000</v>
      </c>
      <c r="O12" s="92">
        <v>4186000</v>
      </c>
      <c r="P12" s="92"/>
      <c r="Q12" s="91">
        <f t="shared" si="1"/>
        <v>4186000</v>
      </c>
      <c r="R12" s="17" t="s">
        <v>66</v>
      </c>
      <c r="S12" s="39" t="s">
        <v>97</v>
      </c>
      <c r="T12" s="18"/>
      <c r="U12" s="23"/>
      <c r="V12" s="96" t="s">
        <v>263</v>
      </c>
      <c r="W12" s="22" t="s">
        <v>219</v>
      </c>
      <c r="X12" s="23"/>
      <c r="Y12" s="22"/>
      <c r="Z12" s="21"/>
      <c r="AA12" s="126"/>
      <c r="AB12" s="130">
        <v>4566545.4545454541</v>
      </c>
      <c r="AC12" s="130">
        <f t="shared" si="2"/>
        <v>-380545.45454545412</v>
      </c>
    </row>
    <row r="13" spans="2:29" ht="90" x14ac:dyDescent="0.25">
      <c r="B13" s="57">
        <v>9</v>
      </c>
      <c r="C13" s="154" t="s">
        <v>174</v>
      </c>
      <c r="D13" s="24" t="s">
        <v>241</v>
      </c>
      <c r="E13" s="14" t="s">
        <v>42</v>
      </c>
      <c r="F13" s="13" t="s">
        <v>190</v>
      </c>
      <c r="G13" s="13" t="s">
        <v>44</v>
      </c>
      <c r="H13" s="13" t="s">
        <v>16</v>
      </c>
      <c r="I13" s="15" t="s">
        <v>55</v>
      </c>
      <c r="J13" s="13"/>
      <c r="K13" s="16"/>
      <c r="L13" s="81"/>
      <c r="M13" s="17">
        <v>2000000</v>
      </c>
      <c r="N13" s="17">
        <v>2000000</v>
      </c>
      <c r="O13" s="92">
        <v>1529000</v>
      </c>
      <c r="P13" s="92"/>
      <c r="Q13" s="91">
        <f t="shared" si="1"/>
        <v>1529000</v>
      </c>
      <c r="R13" s="17" t="s">
        <v>66</v>
      </c>
      <c r="S13" s="39" t="s">
        <v>97</v>
      </c>
      <c r="T13" s="18"/>
      <c r="U13" s="23"/>
      <c r="V13" s="96" t="s">
        <v>263</v>
      </c>
      <c r="W13" s="22" t="s">
        <v>219</v>
      </c>
      <c r="X13" s="23"/>
      <c r="Y13" s="22"/>
      <c r="Z13" s="21"/>
      <c r="AA13" s="126"/>
      <c r="AB13" s="130">
        <v>1668000</v>
      </c>
      <c r="AC13" s="130">
        <f t="shared" si="2"/>
        <v>-139000</v>
      </c>
    </row>
    <row r="14" spans="2:29" ht="60" x14ac:dyDescent="0.25">
      <c r="B14" s="57">
        <v>10</v>
      </c>
      <c r="C14" s="154" t="s">
        <v>160</v>
      </c>
      <c r="D14" s="115" t="s">
        <v>268</v>
      </c>
      <c r="E14" s="14" t="s">
        <v>20</v>
      </c>
      <c r="F14" s="13" t="s">
        <v>18</v>
      </c>
      <c r="G14" s="13" t="s">
        <v>14</v>
      </c>
      <c r="H14" s="13" t="s">
        <v>16</v>
      </c>
      <c r="I14" s="15" t="s">
        <v>55</v>
      </c>
      <c r="J14" s="13" t="s">
        <v>26</v>
      </c>
      <c r="K14" s="16">
        <v>277.82272949999998</v>
      </c>
      <c r="L14" s="17">
        <v>15000</v>
      </c>
      <c r="M14" s="17">
        <v>4190577.3998333337</v>
      </c>
      <c r="N14" s="17">
        <f>M14/12*9</f>
        <v>3142933.049875</v>
      </c>
      <c r="O14" s="92">
        <v>2339707.0195871056</v>
      </c>
      <c r="P14" s="92"/>
      <c r="Q14" s="91">
        <f t="shared" si="1"/>
        <v>2339707.0195871056</v>
      </c>
      <c r="R14" s="17" t="s">
        <v>66</v>
      </c>
      <c r="S14" s="39" t="s">
        <v>97</v>
      </c>
      <c r="T14" s="18" t="s">
        <v>17</v>
      </c>
      <c r="U14" s="95" t="s">
        <v>203</v>
      </c>
      <c r="V14" s="77">
        <v>42614</v>
      </c>
      <c r="W14" s="22" t="s">
        <v>326</v>
      </c>
      <c r="X14" s="23"/>
      <c r="Y14" s="22"/>
      <c r="Z14" s="21"/>
      <c r="AA14" s="125" t="s">
        <v>175</v>
      </c>
      <c r="AB14" s="130">
        <v>2340803.1246702401</v>
      </c>
      <c r="AC14" s="130">
        <f t="shared" si="2"/>
        <v>-1096.105083134491</v>
      </c>
    </row>
    <row r="15" spans="2:29" s="20" customFormat="1" ht="30" x14ac:dyDescent="0.25">
      <c r="B15" s="57">
        <v>11</v>
      </c>
      <c r="C15" s="154" t="s">
        <v>166</v>
      </c>
      <c r="D15" s="24" t="s">
        <v>57</v>
      </c>
      <c r="E15" s="18" t="s">
        <v>77</v>
      </c>
      <c r="F15" s="13" t="s">
        <v>51</v>
      </c>
      <c r="G15" s="13" t="s">
        <v>44</v>
      </c>
      <c r="H15" s="13" t="s">
        <v>16</v>
      </c>
      <c r="I15" s="15" t="s">
        <v>55</v>
      </c>
      <c r="J15" s="13" t="s">
        <v>26</v>
      </c>
      <c r="K15" s="16">
        <v>1200</v>
      </c>
      <c r="L15" s="81">
        <f>400*5</f>
        <v>2000</v>
      </c>
      <c r="M15" s="17">
        <f>L15*K15</f>
        <v>2400000</v>
      </c>
      <c r="N15" s="17">
        <f>M15</f>
        <v>2400000</v>
      </c>
      <c r="O15" s="92">
        <v>0</v>
      </c>
      <c r="P15" s="92"/>
      <c r="Q15" s="91">
        <v>0</v>
      </c>
      <c r="R15" s="17" t="s">
        <v>66</v>
      </c>
      <c r="S15" s="39" t="s">
        <v>97</v>
      </c>
      <c r="T15" s="18"/>
      <c r="U15" s="95">
        <v>42614</v>
      </c>
      <c r="V15" s="96"/>
      <c r="W15" s="95">
        <v>42979</v>
      </c>
      <c r="X15" s="23"/>
      <c r="Y15" s="22"/>
      <c r="Z15" s="21" t="s">
        <v>275</v>
      </c>
      <c r="AA15" s="127" t="s">
        <v>197</v>
      </c>
      <c r="AB15" s="130">
        <v>0</v>
      </c>
      <c r="AC15" s="130">
        <f t="shared" si="2"/>
        <v>0</v>
      </c>
    </row>
    <row r="16" spans="2:29" ht="60" x14ac:dyDescent="0.25">
      <c r="B16" s="57">
        <v>12</v>
      </c>
      <c r="C16" s="154" t="s">
        <v>167</v>
      </c>
      <c r="D16" s="165" t="s">
        <v>284</v>
      </c>
      <c r="E16" s="14" t="s">
        <v>172</v>
      </c>
      <c r="F16" s="13" t="s">
        <v>18</v>
      </c>
      <c r="G16" s="13" t="s">
        <v>14</v>
      </c>
      <c r="H16" s="13"/>
      <c r="I16" s="15" t="s">
        <v>129</v>
      </c>
      <c r="J16" s="13" t="s">
        <v>26</v>
      </c>
      <c r="K16" s="16">
        <v>10864</v>
      </c>
      <c r="L16" s="81">
        <v>150</v>
      </c>
      <c r="M16" s="17">
        <f>L16*K16</f>
        <v>1629600</v>
      </c>
      <c r="N16" s="17">
        <f>(M16/12)*8</f>
        <v>1086400</v>
      </c>
      <c r="O16" s="92">
        <v>492613</v>
      </c>
      <c r="P16" s="92"/>
      <c r="Q16" s="91">
        <f t="shared" ref="Q16:Q47" si="3">O16+P16</f>
        <v>492613</v>
      </c>
      <c r="R16" s="28" t="s">
        <v>91</v>
      </c>
      <c r="S16" s="40"/>
      <c r="T16" s="18" t="s">
        <v>142</v>
      </c>
      <c r="U16" s="23">
        <v>42598</v>
      </c>
      <c r="V16" s="96" t="s">
        <v>226</v>
      </c>
      <c r="W16" s="22" t="s">
        <v>227</v>
      </c>
      <c r="X16" s="23"/>
      <c r="Y16" s="22"/>
      <c r="Z16" s="21" t="s">
        <v>307</v>
      </c>
      <c r="AA16" s="126"/>
      <c r="AB16" s="130">
        <v>492613</v>
      </c>
      <c r="AC16" s="130">
        <f t="shared" si="2"/>
        <v>0</v>
      </c>
    </row>
    <row r="17" spans="2:29" ht="90" x14ac:dyDescent="0.25">
      <c r="B17" s="57">
        <v>13</v>
      </c>
      <c r="C17" s="154" t="s">
        <v>160</v>
      </c>
      <c r="D17" s="24" t="s">
        <v>242</v>
      </c>
      <c r="E17" s="14" t="s">
        <v>20</v>
      </c>
      <c r="F17" s="13" t="s">
        <v>18</v>
      </c>
      <c r="G17" s="13" t="s">
        <v>14</v>
      </c>
      <c r="H17" s="13" t="s">
        <v>16</v>
      </c>
      <c r="I17" s="21" t="s">
        <v>19</v>
      </c>
      <c r="J17" s="13" t="s">
        <v>26</v>
      </c>
      <c r="K17" s="16">
        <v>138</v>
      </c>
      <c r="L17" s="17">
        <v>20000</v>
      </c>
      <c r="M17" s="17">
        <f>K17*L17</f>
        <v>2760000</v>
      </c>
      <c r="N17" s="17">
        <f>M17/12*8</f>
        <v>1840000</v>
      </c>
      <c r="O17" s="92">
        <v>1246483.0125</v>
      </c>
      <c r="P17" s="92"/>
      <c r="Q17" s="91">
        <f t="shared" si="3"/>
        <v>1246483.0125</v>
      </c>
      <c r="R17" s="17" t="s">
        <v>66</v>
      </c>
      <c r="S17" s="39" t="s">
        <v>97</v>
      </c>
      <c r="T17" s="18" t="s">
        <v>17</v>
      </c>
      <c r="U17" s="22" t="s">
        <v>30</v>
      </c>
      <c r="V17" s="111" t="s">
        <v>205</v>
      </c>
      <c r="W17" s="95" t="s">
        <v>206</v>
      </c>
      <c r="X17" s="99"/>
      <c r="Y17" s="99"/>
      <c r="Z17" s="21" t="s">
        <v>136</v>
      </c>
      <c r="AA17" s="125" t="s">
        <v>176</v>
      </c>
      <c r="AB17" s="130">
        <v>1269192</v>
      </c>
      <c r="AC17" s="130">
        <f t="shared" si="2"/>
        <v>-22708.987500000047</v>
      </c>
    </row>
    <row r="18" spans="2:29" ht="30" x14ac:dyDescent="0.25">
      <c r="B18" s="57">
        <v>14</v>
      </c>
      <c r="C18" s="154" t="s">
        <v>174</v>
      </c>
      <c r="D18" s="24" t="s">
        <v>262</v>
      </c>
      <c r="E18" s="14" t="s">
        <v>172</v>
      </c>
      <c r="F18" s="13" t="s">
        <v>18</v>
      </c>
      <c r="G18" s="13" t="s">
        <v>14</v>
      </c>
      <c r="H18" s="13" t="s">
        <v>16</v>
      </c>
      <c r="I18" s="15" t="s">
        <v>13</v>
      </c>
      <c r="J18" s="13" t="s">
        <v>25</v>
      </c>
      <c r="K18" s="16">
        <v>1.0999999999999996</v>
      </c>
      <c r="L18" s="81">
        <v>350000</v>
      </c>
      <c r="M18" s="17">
        <f>K18*L18</f>
        <v>384999.99999999988</v>
      </c>
      <c r="N18" s="17">
        <f>M18</f>
        <v>384999.99999999988</v>
      </c>
      <c r="O18" s="92">
        <f>519200+16500</f>
        <v>535700</v>
      </c>
      <c r="P18" s="92"/>
      <c r="Q18" s="91">
        <f t="shared" si="3"/>
        <v>535700</v>
      </c>
      <c r="R18" s="17" t="s">
        <v>66</v>
      </c>
      <c r="S18" s="39" t="s">
        <v>97</v>
      </c>
      <c r="T18" s="18" t="s">
        <v>70</v>
      </c>
      <c r="U18" s="23"/>
      <c r="V18" s="96" t="s">
        <v>263</v>
      </c>
      <c r="W18" s="22" t="s">
        <v>219</v>
      </c>
      <c r="X18" s="13"/>
      <c r="Y18" s="23">
        <v>42470</v>
      </c>
      <c r="Z18" s="21" t="s">
        <v>73</v>
      </c>
      <c r="AA18" s="126"/>
      <c r="AB18" s="130">
        <v>590814</v>
      </c>
      <c r="AC18" s="130">
        <f t="shared" si="2"/>
        <v>-55114</v>
      </c>
    </row>
    <row r="19" spans="2:29" ht="45" x14ac:dyDescent="0.25">
      <c r="B19" s="57">
        <v>15</v>
      </c>
      <c r="C19" s="154" t="s">
        <v>160</v>
      </c>
      <c r="D19" s="24" t="s">
        <v>37</v>
      </c>
      <c r="E19" s="14" t="s">
        <v>172</v>
      </c>
      <c r="F19" s="13" t="s">
        <v>18</v>
      </c>
      <c r="G19" s="13" t="s">
        <v>15</v>
      </c>
      <c r="H19" s="13"/>
      <c r="I19" s="15" t="s">
        <v>38</v>
      </c>
      <c r="J19" s="13" t="s">
        <v>26</v>
      </c>
      <c r="K19" s="16">
        <v>1200</v>
      </c>
      <c r="L19" s="81">
        <f>300/9*12</f>
        <v>400</v>
      </c>
      <c r="M19" s="17">
        <f>K19*L19</f>
        <v>480000</v>
      </c>
      <c r="N19" s="17">
        <f>M19/12*9</f>
        <v>360000</v>
      </c>
      <c r="O19" s="92">
        <v>180000</v>
      </c>
      <c r="P19" s="92"/>
      <c r="Q19" s="91">
        <f t="shared" si="3"/>
        <v>180000</v>
      </c>
      <c r="R19" s="17" t="s">
        <v>66</v>
      </c>
      <c r="S19" s="39" t="s">
        <v>97</v>
      </c>
      <c r="T19" s="18" t="s">
        <v>45</v>
      </c>
      <c r="U19" s="23">
        <v>42552</v>
      </c>
      <c r="V19" s="96" t="s">
        <v>209</v>
      </c>
      <c r="W19" s="22" t="s">
        <v>210</v>
      </c>
      <c r="X19" s="23"/>
      <c r="Y19" s="22" t="s">
        <v>39</v>
      </c>
      <c r="Z19" s="21"/>
      <c r="AA19" s="126"/>
      <c r="AB19" s="130">
        <v>196363.63636363635</v>
      </c>
      <c r="AC19" s="130">
        <f t="shared" si="2"/>
        <v>-16363.636363636353</v>
      </c>
    </row>
    <row r="20" spans="2:29" ht="45" x14ac:dyDescent="0.25">
      <c r="B20" s="57">
        <v>16</v>
      </c>
      <c r="C20" s="154" t="s">
        <v>160</v>
      </c>
      <c r="D20" s="24" t="s">
        <v>93</v>
      </c>
      <c r="E20" s="14" t="s">
        <v>20</v>
      </c>
      <c r="F20" s="13" t="s">
        <v>92</v>
      </c>
      <c r="G20" s="13" t="s">
        <v>44</v>
      </c>
      <c r="H20" s="13"/>
      <c r="I20" s="15" t="s">
        <v>129</v>
      </c>
      <c r="J20" s="13" t="s">
        <v>25</v>
      </c>
      <c r="K20" s="16">
        <f>110-96</f>
        <v>14</v>
      </c>
      <c r="L20" s="81">
        <f>200*116</f>
        <v>23200</v>
      </c>
      <c r="M20" s="17">
        <f>K20*L20</f>
        <v>324800</v>
      </c>
      <c r="N20" s="17">
        <f>M20</f>
        <v>324800</v>
      </c>
      <c r="O20" s="92">
        <f>(93.6)*116*K20</f>
        <v>152006.39999999997</v>
      </c>
      <c r="P20" s="92"/>
      <c r="Q20" s="91">
        <f t="shared" si="3"/>
        <v>152006.39999999997</v>
      </c>
      <c r="R20" s="17" t="s">
        <v>66</v>
      </c>
      <c r="S20" s="39" t="s">
        <v>97</v>
      </c>
      <c r="T20" s="18" t="s">
        <v>17</v>
      </c>
      <c r="U20" s="23" t="s">
        <v>74</v>
      </c>
      <c r="V20" s="77">
        <v>42614</v>
      </c>
      <c r="W20" s="22" t="s">
        <v>326</v>
      </c>
      <c r="X20" s="13"/>
      <c r="Y20" s="23"/>
      <c r="Z20" s="21"/>
      <c r="AA20" s="125" t="s">
        <v>177</v>
      </c>
      <c r="AB20" s="130">
        <v>176366.39999999997</v>
      </c>
      <c r="AC20" s="130">
        <f t="shared" si="2"/>
        <v>-24360</v>
      </c>
    </row>
    <row r="21" spans="2:29" ht="75" x14ac:dyDescent="0.25">
      <c r="B21" s="57">
        <v>17</v>
      </c>
      <c r="C21" s="154" t="s">
        <v>160</v>
      </c>
      <c r="D21" s="24" t="s">
        <v>27</v>
      </c>
      <c r="E21" s="14" t="s">
        <v>279</v>
      </c>
      <c r="F21" s="13" t="s">
        <v>18</v>
      </c>
      <c r="G21" s="13" t="s">
        <v>44</v>
      </c>
      <c r="H21" s="13"/>
      <c r="I21" s="15"/>
      <c r="J21" s="13" t="s">
        <v>192</v>
      </c>
      <c r="K21" s="16">
        <v>0.2</v>
      </c>
      <c r="L21" s="17">
        <f>2466666.66666667/8*12</f>
        <v>3700000.0000000047</v>
      </c>
      <c r="M21" s="17">
        <f>K21*L21</f>
        <v>740000.00000000093</v>
      </c>
      <c r="N21" s="17">
        <f>M21/12*7</f>
        <v>431666.66666666721</v>
      </c>
      <c r="O21" s="92">
        <f>111051+11205+16013+6315+2089</f>
        <v>146673</v>
      </c>
      <c r="P21" s="92"/>
      <c r="Q21" s="91">
        <f t="shared" si="3"/>
        <v>146673</v>
      </c>
      <c r="R21" s="17" t="s">
        <v>66</v>
      </c>
      <c r="S21" s="39" t="s">
        <v>97</v>
      </c>
      <c r="T21" s="18" t="s">
        <v>45</v>
      </c>
      <c r="U21" s="23">
        <v>42380</v>
      </c>
      <c r="V21" s="112" t="s">
        <v>213</v>
      </c>
      <c r="W21" s="112" t="s">
        <v>214</v>
      </c>
      <c r="X21" s="23"/>
      <c r="Y21" s="22" t="s">
        <v>30</v>
      </c>
      <c r="Z21" s="21" t="s">
        <v>131</v>
      </c>
      <c r="AA21" s="126"/>
      <c r="AB21" s="130">
        <v>160006.90909090909</v>
      </c>
      <c r="AC21" s="130">
        <f t="shared" si="2"/>
        <v>-13333.909090909088</v>
      </c>
    </row>
    <row r="22" spans="2:29" ht="45" x14ac:dyDescent="0.25">
      <c r="B22" s="57">
        <v>18</v>
      </c>
      <c r="C22" s="154" t="s">
        <v>160</v>
      </c>
      <c r="D22" s="24" t="s">
        <v>221</v>
      </c>
      <c r="E22" s="14" t="s">
        <v>172</v>
      </c>
      <c r="F22" s="13" t="s">
        <v>22</v>
      </c>
      <c r="G22" s="13" t="s">
        <v>14</v>
      </c>
      <c r="H22" s="13"/>
      <c r="I22" s="15" t="s">
        <v>129</v>
      </c>
      <c r="J22" s="13" t="s">
        <v>192</v>
      </c>
      <c r="K22" s="16">
        <v>1.498</v>
      </c>
      <c r="L22" s="81"/>
      <c r="M22" s="17">
        <v>179760</v>
      </c>
      <c r="N22" s="17"/>
      <c r="O22" s="92">
        <f>318404+92492+44496</f>
        <v>455392</v>
      </c>
      <c r="P22" s="92"/>
      <c r="Q22" s="91">
        <f t="shared" si="3"/>
        <v>455392</v>
      </c>
      <c r="R22" s="17" t="s">
        <v>66</v>
      </c>
      <c r="S22" s="40"/>
      <c r="T22" s="18" t="s">
        <v>142</v>
      </c>
      <c r="U22" s="23">
        <v>42675</v>
      </c>
      <c r="V22" s="96" t="s">
        <v>222</v>
      </c>
      <c r="W22" s="96" t="s">
        <v>223</v>
      </c>
      <c r="X22" s="23"/>
      <c r="Y22" s="96">
        <v>42644</v>
      </c>
      <c r="Z22" s="21" t="s">
        <v>224</v>
      </c>
      <c r="AA22" s="126" t="s">
        <v>225</v>
      </c>
      <c r="AB22" s="130">
        <v>496791.27272727271</v>
      </c>
      <c r="AC22" s="130">
        <f t="shared" si="2"/>
        <v>-41399.272727272706</v>
      </c>
    </row>
    <row r="23" spans="2:29" ht="30" x14ac:dyDescent="0.25">
      <c r="B23" s="57">
        <v>19</v>
      </c>
      <c r="C23" s="154" t="s">
        <v>160</v>
      </c>
      <c r="D23" s="24" t="s">
        <v>243</v>
      </c>
      <c r="E23" s="14" t="s">
        <v>172</v>
      </c>
      <c r="F23" s="13" t="s">
        <v>18</v>
      </c>
      <c r="G23" s="13" t="s">
        <v>44</v>
      </c>
      <c r="H23" s="13" t="s">
        <v>16</v>
      </c>
      <c r="I23" s="15" t="s">
        <v>11</v>
      </c>
      <c r="J23" s="13" t="s">
        <v>25</v>
      </c>
      <c r="K23" s="16">
        <v>3</v>
      </c>
      <c r="L23" s="81">
        <v>44000</v>
      </c>
      <c r="M23" s="17">
        <f>K23*L23</f>
        <v>132000</v>
      </c>
      <c r="N23" s="17">
        <f>M23/12*9</f>
        <v>99000</v>
      </c>
      <c r="O23" s="92">
        <f>158670+5484</f>
        <v>164154</v>
      </c>
      <c r="P23" s="92"/>
      <c r="Q23" s="91">
        <f t="shared" si="3"/>
        <v>164154</v>
      </c>
      <c r="R23" s="17" t="s">
        <v>66</v>
      </c>
      <c r="S23" s="39" t="s">
        <v>97</v>
      </c>
      <c r="T23" s="18" t="s">
        <v>70</v>
      </c>
      <c r="U23" s="23" t="s">
        <v>74</v>
      </c>
      <c r="V23" s="22" t="s">
        <v>211</v>
      </c>
      <c r="W23" s="22" t="s">
        <v>212</v>
      </c>
      <c r="X23" s="13"/>
      <c r="Y23" s="23">
        <v>42536</v>
      </c>
      <c r="Z23" s="21" t="s">
        <v>73</v>
      </c>
      <c r="AA23" s="126"/>
      <c r="AB23" s="130">
        <v>179077.09090909091</v>
      </c>
      <c r="AC23" s="130">
        <f t="shared" si="2"/>
        <v>-14923.090909090912</v>
      </c>
    </row>
    <row r="24" spans="2:29" ht="45" x14ac:dyDescent="0.25">
      <c r="B24" s="57">
        <v>20</v>
      </c>
      <c r="C24" s="154" t="s">
        <v>174</v>
      </c>
      <c r="D24" s="24" t="s">
        <v>244</v>
      </c>
      <c r="E24" s="14" t="s">
        <v>42</v>
      </c>
      <c r="F24" s="13" t="s">
        <v>190</v>
      </c>
      <c r="G24" s="13" t="s">
        <v>44</v>
      </c>
      <c r="H24" s="13" t="s">
        <v>16</v>
      </c>
      <c r="I24" s="15" t="s">
        <v>55</v>
      </c>
      <c r="J24" s="13"/>
      <c r="K24" s="16"/>
      <c r="L24" s="81"/>
      <c r="M24" s="17">
        <v>6500000</v>
      </c>
      <c r="N24" s="17">
        <v>6500000</v>
      </c>
      <c r="O24" s="92">
        <v>-1750000</v>
      </c>
      <c r="P24" s="92"/>
      <c r="Q24" s="91">
        <f t="shared" si="3"/>
        <v>-1750000</v>
      </c>
      <c r="R24" s="17" t="s">
        <v>66</v>
      </c>
      <c r="S24" s="39" t="s">
        <v>97</v>
      </c>
      <c r="T24" s="18"/>
      <c r="U24" s="23"/>
      <c r="V24" s="96" t="s">
        <v>263</v>
      </c>
      <c r="W24" s="22" t="s">
        <v>219</v>
      </c>
      <c r="X24" s="23"/>
      <c r="Y24" s="22"/>
      <c r="Z24" s="21"/>
      <c r="AA24" s="126"/>
      <c r="AB24" s="130">
        <v>-1909090.9090909092</v>
      </c>
      <c r="AC24" s="130">
        <f t="shared" si="2"/>
        <v>159090.90909090918</v>
      </c>
    </row>
    <row r="25" spans="2:29" ht="180" x14ac:dyDescent="0.25">
      <c r="B25" s="57">
        <v>21</v>
      </c>
      <c r="C25" s="154" t="s">
        <v>174</v>
      </c>
      <c r="D25" s="24" t="s">
        <v>306</v>
      </c>
      <c r="E25" s="14" t="s">
        <v>42</v>
      </c>
      <c r="F25" s="13" t="s">
        <v>190</v>
      </c>
      <c r="G25" s="13" t="s">
        <v>44</v>
      </c>
      <c r="H25" s="13" t="s">
        <v>16</v>
      </c>
      <c r="I25" s="15" t="s">
        <v>55</v>
      </c>
      <c r="J25" s="13"/>
      <c r="K25" s="16"/>
      <c r="L25" s="81"/>
      <c r="M25" s="17">
        <v>5200000</v>
      </c>
      <c r="N25" s="17">
        <v>5200000</v>
      </c>
      <c r="O25" s="92">
        <v>-4460000</v>
      </c>
      <c r="P25" s="92"/>
      <c r="Q25" s="91">
        <f t="shared" si="3"/>
        <v>-4460000</v>
      </c>
      <c r="R25" s="17" t="s">
        <v>66</v>
      </c>
      <c r="S25" s="39" t="s">
        <v>97</v>
      </c>
      <c r="T25" s="18"/>
      <c r="U25" s="23"/>
      <c r="V25" s="96" t="s">
        <v>263</v>
      </c>
      <c r="W25" s="22" t="s">
        <v>219</v>
      </c>
      <c r="X25" s="23"/>
      <c r="Y25" s="22"/>
      <c r="Z25" s="21" t="s">
        <v>140</v>
      </c>
      <c r="AA25" s="126"/>
      <c r="AB25" s="130">
        <v>-4865454.5454545459</v>
      </c>
      <c r="AC25" s="130">
        <f t="shared" si="2"/>
        <v>405454.54545454588</v>
      </c>
    </row>
    <row r="26" spans="2:29" ht="30" x14ac:dyDescent="0.25">
      <c r="B26" s="57">
        <v>22</v>
      </c>
      <c r="C26" s="154" t="s">
        <v>174</v>
      </c>
      <c r="D26" s="24" t="s">
        <v>245</v>
      </c>
      <c r="E26" s="14" t="s">
        <v>42</v>
      </c>
      <c r="F26" s="13" t="s">
        <v>22</v>
      </c>
      <c r="G26" s="13" t="s">
        <v>44</v>
      </c>
      <c r="H26" s="13"/>
      <c r="I26" s="15" t="s">
        <v>55</v>
      </c>
      <c r="J26" s="13"/>
      <c r="K26" s="16"/>
      <c r="L26" s="81"/>
      <c r="M26" s="17"/>
      <c r="N26" s="17"/>
      <c r="O26" s="92">
        <v>630000</v>
      </c>
      <c r="P26" s="92"/>
      <c r="Q26" s="91">
        <f t="shared" si="3"/>
        <v>630000</v>
      </c>
      <c r="R26" s="17" t="s">
        <v>66</v>
      </c>
      <c r="S26" s="39" t="s">
        <v>97</v>
      </c>
      <c r="T26" s="18"/>
      <c r="U26" s="23"/>
      <c r="V26" s="96" t="s">
        <v>263</v>
      </c>
      <c r="W26" s="22" t="s">
        <v>219</v>
      </c>
      <c r="X26" s="23"/>
      <c r="Y26" s="22"/>
      <c r="Z26" s="21"/>
      <c r="AA26" s="126"/>
      <c r="AB26" s="130">
        <v>630000</v>
      </c>
      <c r="AC26" s="130">
        <f t="shared" si="2"/>
        <v>0</v>
      </c>
    </row>
    <row r="27" spans="2:29" ht="45" x14ac:dyDescent="0.25">
      <c r="B27" s="57">
        <v>23</v>
      </c>
      <c r="C27" s="154" t="s">
        <v>167</v>
      </c>
      <c r="D27" s="24" t="s">
        <v>56</v>
      </c>
      <c r="E27" s="18" t="s">
        <v>77</v>
      </c>
      <c r="F27" s="13" t="s">
        <v>51</v>
      </c>
      <c r="G27" s="13" t="s">
        <v>14</v>
      </c>
      <c r="H27" s="13" t="s">
        <v>16</v>
      </c>
      <c r="I27" s="15" t="s">
        <v>52</v>
      </c>
      <c r="J27" s="13" t="s">
        <v>26</v>
      </c>
      <c r="K27" s="16">
        <v>400</v>
      </c>
      <c r="L27" s="100">
        <f>8000*0+2000</f>
        <v>2000</v>
      </c>
      <c r="M27" s="17">
        <f>L27*K27</f>
        <v>800000</v>
      </c>
      <c r="N27" s="17">
        <f>M27</f>
        <v>800000</v>
      </c>
      <c r="O27" s="92"/>
      <c r="P27" s="92"/>
      <c r="Q27" s="91">
        <f t="shared" si="3"/>
        <v>0</v>
      </c>
      <c r="R27" s="17" t="s">
        <v>94</v>
      </c>
      <c r="S27" s="40">
        <v>2</v>
      </c>
      <c r="T27" s="18"/>
      <c r="U27" s="22" t="s">
        <v>82</v>
      </c>
      <c r="V27" s="96"/>
      <c r="W27" s="97" t="s">
        <v>69</v>
      </c>
      <c r="X27" s="23"/>
      <c r="Y27" s="22"/>
      <c r="Z27" s="21" t="s">
        <v>321</v>
      </c>
      <c r="AA27" s="126"/>
      <c r="AB27" s="130">
        <v>0</v>
      </c>
      <c r="AC27" s="130">
        <f t="shared" si="2"/>
        <v>0</v>
      </c>
    </row>
    <row r="28" spans="2:29" ht="45" x14ac:dyDescent="0.25">
      <c r="B28" s="57">
        <v>24</v>
      </c>
      <c r="C28" s="154" t="s">
        <v>167</v>
      </c>
      <c r="D28" s="165" t="s">
        <v>145</v>
      </c>
      <c r="E28" s="14" t="s">
        <v>172</v>
      </c>
      <c r="F28" s="13" t="s">
        <v>18</v>
      </c>
      <c r="G28" s="13" t="s">
        <v>14</v>
      </c>
      <c r="H28" s="13"/>
      <c r="I28" s="15" t="s">
        <v>129</v>
      </c>
      <c r="J28" s="13" t="s">
        <v>26</v>
      </c>
      <c r="K28" s="16">
        <v>2100</v>
      </c>
      <c r="L28" s="81">
        <v>150</v>
      </c>
      <c r="M28" s="17">
        <f>L28*K28</f>
        <v>315000</v>
      </c>
      <c r="N28" s="17">
        <f>(M28/12)*8</f>
        <v>210000</v>
      </c>
      <c r="O28" s="92">
        <v>97963</v>
      </c>
      <c r="P28" s="92"/>
      <c r="Q28" s="91">
        <f t="shared" si="3"/>
        <v>97963</v>
      </c>
      <c r="R28" s="28" t="s">
        <v>91</v>
      </c>
      <c r="S28" s="40"/>
      <c r="T28" s="18" t="s">
        <v>142</v>
      </c>
      <c r="U28" s="23">
        <v>42598</v>
      </c>
      <c r="V28" s="96" t="s">
        <v>226</v>
      </c>
      <c r="W28" s="22" t="s">
        <v>227</v>
      </c>
      <c r="X28" s="23"/>
      <c r="Y28" s="22"/>
      <c r="Z28" s="21" t="s">
        <v>307</v>
      </c>
      <c r="AA28" s="126"/>
      <c r="AB28" s="130">
        <v>97963</v>
      </c>
      <c r="AC28" s="130">
        <f t="shared" si="2"/>
        <v>0</v>
      </c>
    </row>
    <row r="29" spans="2:29" ht="30" x14ac:dyDescent="0.25">
      <c r="B29" s="57">
        <v>25</v>
      </c>
      <c r="C29" s="154" t="s">
        <v>160</v>
      </c>
      <c r="D29" s="24" t="s">
        <v>34</v>
      </c>
      <c r="E29" s="14" t="s">
        <v>279</v>
      </c>
      <c r="F29" s="13" t="s">
        <v>18</v>
      </c>
      <c r="G29" s="13" t="s">
        <v>14</v>
      </c>
      <c r="H29" s="13"/>
      <c r="I29" s="15" t="s">
        <v>129</v>
      </c>
      <c r="J29" s="13" t="s">
        <v>25</v>
      </c>
      <c r="K29" s="16">
        <v>5</v>
      </c>
      <c r="L29" s="81">
        <f>75000*2</f>
        <v>150000</v>
      </c>
      <c r="M29" s="17">
        <f>K29*L29</f>
        <v>750000</v>
      </c>
      <c r="N29" s="17">
        <f>M29/2</f>
        <v>375000</v>
      </c>
      <c r="O29" s="92">
        <f>2477+14802+12458+4143+35562+81227</f>
        <v>150669</v>
      </c>
      <c r="P29" s="92"/>
      <c r="Q29" s="91">
        <f t="shared" si="3"/>
        <v>150669</v>
      </c>
      <c r="R29" s="17" t="s">
        <v>66</v>
      </c>
      <c r="S29" s="39" t="s">
        <v>97</v>
      </c>
      <c r="T29" s="18" t="s">
        <v>45</v>
      </c>
      <c r="U29" s="23" t="s">
        <v>85</v>
      </c>
      <c r="V29" s="96" t="s">
        <v>255</v>
      </c>
      <c r="W29" s="22" t="s">
        <v>256</v>
      </c>
      <c r="X29" s="23"/>
      <c r="Y29" s="22" t="s">
        <v>35</v>
      </c>
      <c r="Z29" s="21" t="s">
        <v>132</v>
      </c>
      <c r="AA29" s="126"/>
      <c r="AB29" s="130">
        <v>69442</v>
      </c>
      <c r="AC29" s="130">
        <f t="shared" si="2"/>
        <v>81227</v>
      </c>
    </row>
    <row r="30" spans="2:29" ht="105" x14ac:dyDescent="0.25">
      <c r="B30" s="57">
        <v>26</v>
      </c>
      <c r="C30" s="154" t="s">
        <v>166</v>
      </c>
      <c r="D30" s="24" t="s">
        <v>246</v>
      </c>
      <c r="E30" s="14" t="s">
        <v>172</v>
      </c>
      <c r="F30" s="13" t="s">
        <v>18</v>
      </c>
      <c r="G30" s="13" t="s">
        <v>14</v>
      </c>
      <c r="H30" s="13" t="s">
        <v>16</v>
      </c>
      <c r="I30" s="15"/>
      <c r="J30" s="13" t="s">
        <v>26</v>
      </c>
      <c r="K30" s="16"/>
      <c r="L30" s="81"/>
      <c r="M30" s="17">
        <v>600000</v>
      </c>
      <c r="N30" s="17">
        <f>M30/12*7</f>
        <v>350000</v>
      </c>
      <c r="O30" s="92"/>
      <c r="P30" s="92"/>
      <c r="Q30" s="91">
        <f t="shared" si="3"/>
        <v>0</v>
      </c>
      <c r="R30" s="17" t="s">
        <v>66</v>
      </c>
      <c r="S30" s="39" t="s">
        <v>97</v>
      </c>
      <c r="T30" s="18" t="s">
        <v>72</v>
      </c>
      <c r="U30" s="23" t="s">
        <v>30</v>
      </c>
      <c r="V30" s="97"/>
      <c r="W30" s="23"/>
      <c r="X30" s="23"/>
      <c r="Y30" s="22"/>
      <c r="Z30" s="21" t="s">
        <v>265</v>
      </c>
      <c r="AA30" s="126" t="s">
        <v>229</v>
      </c>
      <c r="AB30" s="130">
        <v>0</v>
      </c>
      <c r="AC30" s="130">
        <f t="shared" si="2"/>
        <v>0</v>
      </c>
    </row>
    <row r="31" spans="2:29" ht="135" x14ac:dyDescent="0.25">
      <c r="B31" s="57">
        <v>27</v>
      </c>
      <c r="C31" s="154" t="s">
        <v>167</v>
      </c>
      <c r="D31" s="24" t="s">
        <v>5</v>
      </c>
      <c r="E31" s="14" t="s">
        <v>20</v>
      </c>
      <c r="F31" s="13" t="s">
        <v>18</v>
      </c>
      <c r="G31" s="13" t="s">
        <v>14</v>
      </c>
      <c r="H31" s="13" t="s">
        <v>16</v>
      </c>
      <c r="I31" s="21" t="s">
        <v>19</v>
      </c>
      <c r="J31" s="13" t="s">
        <v>26</v>
      </c>
      <c r="K31" s="16">
        <v>1400</v>
      </c>
      <c r="L31" s="17">
        <v>400</v>
      </c>
      <c r="M31" s="17">
        <f>K31*L31</f>
        <v>560000</v>
      </c>
      <c r="N31" s="17">
        <f>M31/2</f>
        <v>280000</v>
      </c>
      <c r="O31" s="92"/>
      <c r="P31" s="92"/>
      <c r="Q31" s="91">
        <f t="shared" si="3"/>
        <v>0</v>
      </c>
      <c r="R31" s="28" t="s">
        <v>91</v>
      </c>
      <c r="S31" s="40">
        <v>5</v>
      </c>
      <c r="T31" s="18" t="s">
        <v>17</v>
      </c>
      <c r="U31" s="22" t="s">
        <v>202</v>
      </c>
      <c r="V31" s="22"/>
      <c r="W31" s="99"/>
      <c r="X31" s="99"/>
      <c r="Y31" s="99"/>
      <c r="Z31" s="21" t="s">
        <v>182</v>
      </c>
      <c r="AA31" s="125"/>
      <c r="AB31" s="130">
        <v>0</v>
      </c>
      <c r="AC31" s="130">
        <f t="shared" si="2"/>
        <v>0</v>
      </c>
    </row>
    <row r="32" spans="2:29" ht="75" x14ac:dyDescent="0.25">
      <c r="B32" s="57">
        <v>28</v>
      </c>
      <c r="C32" s="154" t="s">
        <v>166</v>
      </c>
      <c r="D32" s="24" t="s">
        <v>47</v>
      </c>
      <c r="E32" s="14" t="s">
        <v>20</v>
      </c>
      <c r="F32" s="13" t="s">
        <v>18</v>
      </c>
      <c r="G32" s="13" t="s">
        <v>44</v>
      </c>
      <c r="H32" s="13" t="s">
        <v>16</v>
      </c>
      <c r="I32" s="15" t="s">
        <v>129</v>
      </c>
      <c r="J32" s="13" t="s">
        <v>26</v>
      </c>
      <c r="K32" s="16">
        <f>18*86</f>
        <v>1548</v>
      </c>
      <c r="L32" s="81">
        <v>300</v>
      </c>
      <c r="M32" s="17">
        <f>K32*L32</f>
        <v>464400</v>
      </c>
      <c r="N32" s="17">
        <f>M32/2</f>
        <v>232200</v>
      </c>
      <c r="O32" s="92"/>
      <c r="P32" s="92"/>
      <c r="Q32" s="91">
        <f t="shared" si="3"/>
        <v>0</v>
      </c>
      <c r="R32" s="28" t="s">
        <v>91</v>
      </c>
      <c r="S32" s="40">
        <v>5</v>
      </c>
      <c r="T32" s="18" t="s">
        <v>17</v>
      </c>
      <c r="U32" s="22" t="s">
        <v>201</v>
      </c>
      <c r="V32" s="96"/>
      <c r="W32" s="23"/>
      <c r="X32" s="23"/>
      <c r="Y32" s="22"/>
      <c r="Z32" s="21" t="s">
        <v>178</v>
      </c>
      <c r="AA32" s="126"/>
      <c r="AB32" s="130">
        <v>0</v>
      </c>
      <c r="AC32" s="130">
        <f t="shared" si="2"/>
        <v>0</v>
      </c>
    </row>
    <row r="33" spans="2:29" ht="30" x14ac:dyDescent="0.25">
      <c r="B33" s="57">
        <v>29</v>
      </c>
      <c r="C33" s="154" t="s">
        <v>166</v>
      </c>
      <c r="D33" s="24" t="s">
        <v>247</v>
      </c>
      <c r="E33" s="14" t="s">
        <v>172</v>
      </c>
      <c r="F33" s="13" t="s">
        <v>18</v>
      </c>
      <c r="G33" s="13" t="s">
        <v>14</v>
      </c>
      <c r="H33" s="13"/>
      <c r="I33" s="15" t="s">
        <v>33</v>
      </c>
      <c r="J33" s="13" t="s">
        <v>25</v>
      </c>
      <c r="K33" s="16">
        <v>1</v>
      </c>
      <c r="L33" s="81">
        <f>166666.666666667/8*12</f>
        <v>250000.00000000052</v>
      </c>
      <c r="M33" s="17">
        <f>K33*L33</f>
        <v>250000.00000000052</v>
      </c>
      <c r="N33" s="17">
        <f>M33/12*8</f>
        <v>166666.66666666701</v>
      </c>
      <c r="O33" s="92"/>
      <c r="P33" s="92"/>
      <c r="Q33" s="91">
        <f t="shared" si="3"/>
        <v>0</v>
      </c>
      <c r="R33" s="17" t="s">
        <v>66</v>
      </c>
      <c r="S33" s="39" t="s">
        <v>97</v>
      </c>
      <c r="T33" s="18" t="s">
        <v>45</v>
      </c>
      <c r="U33" s="23" t="s">
        <v>86</v>
      </c>
      <c r="V33" s="97"/>
      <c r="W33" s="23"/>
      <c r="X33" s="23"/>
      <c r="Y33" s="22" t="s">
        <v>30</v>
      </c>
      <c r="Z33" s="21" t="s">
        <v>183</v>
      </c>
      <c r="AA33" s="126"/>
      <c r="AB33" s="130">
        <v>0</v>
      </c>
      <c r="AC33" s="130">
        <f t="shared" si="2"/>
        <v>0</v>
      </c>
    </row>
    <row r="34" spans="2:29" ht="30" x14ac:dyDescent="0.25">
      <c r="B34" s="57">
        <v>30</v>
      </c>
      <c r="C34" s="154" t="s">
        <v>166</v>
      </c>
      <c r="D34" s="24" t="s">
        <v>248</v>
      </c>
      <c r="E34" s="14" t="s">
        <v>172</v>
      </c>
      <c r="F34" s="13" t="s">
        <v>18</v>
      </c>
      <c r="G34" s="13" t="s">
        <v>14</v>
      </c>
      <c r="H34" s="13"/>
      <c r="I34" s="15" t="s">
        <v>29</v>
      </c>
      <c r="J34" s="13" t="s">
        <v>25</v>
      </c>
      <c r="K34" s="16">
        <v>20.14</v>
      </c>
      <c r="L34" s="81">
        <v>12000</v>
      </c>
      <c r="M34" s="17">
        <f>K34*L34</f>
        <v>241680</v>
      </c>
      <c r="N34" s="17">
        <f>M34/12*7</f>
        <v>140980</v>
      </c>
      <c r="O34" s="92"/>
      <c r="P34" s="92"/>
      <c r="Q34" s="91">
        <f t="shared" si="3"/>
        <v>0</v>
      </c>
      <c r="R34" s="17" t="s">
        <v>66</v>
      </c>
      <c r="S34" s="39" t="s">
        <v>97</v>
      </c>
      <c r="T34" s="18" t="s">
        <v>45</v>
      </c>
      <c r="U34" s="23" t="s">
        <v>87</v>
      </c>
      <c r="V34" s="97"/>
      <c r="W34" s="23"/>
      <c r="X34" s="23"/>
      <c r="Y34" s="22" t="s">
        <v>31</v>
      </c>
      <c r="Z34" s="21" t="s">
        <v>183</v>
      </c>
      <c r="AA34" s="126" t="s">
        <v>269</v>
      </c>
      <c r="AB34" s="130">
        <v>0</v>
      </c>
      <c r="AC34" s="130">
        <f t="shared" si="2"/>
        <v>0</v>
      </c>
    </row>
    <row r="35" spans="2:29" ht="105" x14ac:dyDescent="0.25">
      <c r="B35" s="57">
        <v>31</v>
      </c>
      <c r="C35" s="154" t="s">
        <v>167</v>
      </c>
      <c r="D35" s="24" t="s">
        <v>234</v>
      </c>
      <c r="E35" s="14" t="s">
        <v>20</v>
      </c>
      <c r="F35" s="13" t="s">
        <v>22</v>
      </c>
      <c r="G35" s="13" t="s">
        <v>14</v>
      </c>
      <c r="H35" s="13" t="s">
        <v>16</v>
      </c>
      <c r="I35" s="15" t="s">
        <v>129</v>
      </c>
      <c r="J35" s="13" t="s">
        <v>26</v>
      </c>
      <c r="K35" s="82" t="s">
        <v>236</v>
      </c>
      <c r="L35" s="81">
        <v>21</v>
      </c>
      <c r="M35" s="17">
        <v>18223.07058</v>
      </c>
      <c r="N35" s="17">
        <f>(M35/12)*3</f>
        <v>4555.7676449999999</v>
      </c>
      <c r="O35" s="92"/>
      <c r="P35" s="92"/>
      <c r="Q35" s="91">
        <f t="shared" si="3"/>
        <v>0</v>
      </c>
      <c r="R35" s="114" t="s">
        <v>94</v>
      </c>
      <c r="S35" s="39" t="s">
        <v>97</v>
      </c>
      <c r="T35" s="18" t="s">
        <v>23</v>
      </c>
      <c r="U35" s="22" t="s">
        <v>199</v>
      </c>
      <c r="V35" s="97"/>
      <c r="W35" s="22" t="s">
        <v>200</v>
      </c>
      <c r="X35" s="23"/>
      <c r="Y35" s="22"/>
      <c r="Z35" s="21" t="s">
        <v>137</v>
      </c>
      <c r="AA35" s="125" t="s">
        <v>264</v>
      </c>
      <c r="AB35" s="130">
        <v>0</v>
      </c>
      <c r="AC35" s="130">
        <f t="shared" si="2"/>
        <v>0</v>
      </c>
    </row>
    <row r="36" spans="2:29" ht="60" x14ac:dyDescent="0.25">
      <c r="B36" s="57">
        <v>32</v>
      </c>
      <c r="C36" s="154" t="s">
        <v>166</v>
      </c>
      <c r="D36" s="83" t="s">
        <v>8</v>
      </c>
      <c r="E36" s="14" t="s">
        <v>172</v>
      </c>
      <c r="F36" s="13" t="s">
        <v>18</v>
      </c>
      <c r="G36" s="13" t="s">
        <v>14</v>
      </c>
      <c r="H36" s="13" t="s">
        <v>16</v>
      </c>
      <c r="I36" s="15" t="s">
        <v>12</v>
      </c>
      <c r="J36" s="13" t="s">
        <v>25</v>
      </c>
      <c r="K36" s="16">
        <v>769.02</v>
      </c>
      <c r="L36" s="81">
        <v>150</v>
      </c>
      <c r="M36" s="17">
        <f>K36*L36</f>
        <v>115353</v>
      </c>
      <c r="N36" s="17">
        <f>M36</f>
        <v>115353</v>
      </c>
      <c r="O36" s="92"/>
      <c r="P36" s="92"/>
      <c r="Q36" s="91">
        <f t="shared" si="3"/>
        <v>0</v>
      </c>
      <c r="R36" s="17" t="s">
        <v>66</v>
      </c>
      <c r="S36" s="39" t="s">
        <v>97</v>
      </c>
      <c r="T36" s="18" t="s">
        <v>70</v>
      </c>
      <c r="U36" s="23" t="s">
        <v>88</v>
      </c>
      <c r="V36" s="23"/>
      <c r="W36" s="23">
        <v>42583</v>
      </c>
      <c r="X36" s="13"/>
      <c r="Y36" s="13"/>
      <c r="Z36" s="21" t="s">
        <v>302</v>
      </c>
      <c r="AA36" s="126"/>
      <c r="AB36" s="130">
        <v>0</v>
      </c>
      <c r="AC36" s="130">
        <f t="shared" si="2"/>
        <v>0</v>
      </c>
    </row>
    <row r="37" spans="2:29" ht="75" x14ac:dyDescent="0.25">
      <c r="B37" s="57">
        <v>33</v>
      </c>
      <c r="C37" s="154" t="s">
        <v>167</v>
      </c>
      <c r="D37" s="24" t="s">
        <v>235</v>
      </c>
      <c r="E37" s="14" t="s">
        <v>20</v>
      </c>
      <c r="F37" s="13" t="s">
        <v>22</v>
      </c>
      <c r="G37" s="13" t="s">
        <v>14</v>
      </c>
      <c r="H37" s="13" t="s">
        <v>16</v>
      </c>
      <c r="I37" s="15" t="s">
        <v>129</v>
      </c>
      <c r="J37" s="13" t="s">
        <v>26</v>
      </c>
      <c r="K37" s="82" t="s">
        <v>237</v>
      </c>
      <c r="L37" s="81">
        <v>21</v>
      </c>
      <c r="M37" s="17">
        <v>10924.49358</v>
      </c>
      <c r="N37" s="17">
        <f>(M37/12)*3</f>
        <v>2731.1233950000001</v>
      </c>
      <c r="O37" s="92"/>
      <c r="P37" s="92"/>
      <c r="Q37" s="91">
        <f t="shared" si="3"/>
        <v>0</v>
      </c>
      <c r="R37" s="17" t="s">
        <v>66</v>
      </c>
      <c r="S37" s="39" t="s">
        <v>97</v>
      </c>
      <c r="T37" s="18" t="s">
        <v>23</v>
      </c>
      <c r="U37" s="22" t="s">
        <v>199</v>
      </c>
      <c r="V37" s="23"/>
      <c r="W37" s="22" t="s">
        <v>200</v>
      </c>
      <c r="X37" s="99"/>
      <c r="Y37" s="99">
        <v>42583</v>
      </c>
      <c r="Z37" s="21" t="s">
        <v>138</v>
      </c>
      <c r="AA37" s="126" t="s">
        <v>259</v>
      </c>
      <c r="AB37" s="130">
        <v>0</v>
      </c>
      <c r="AC37" s="130">
        <f t="shared" si="2"/>
        <v>0</v>
      </c>
    </row>
    <row r="38" spans="2:29" ht="60" x14ac:dyDescent="0.25">
      <c r="B38" s="57">
        <v>34</v>
      </c>
      <c r="C38" s="154" t="s">
        <v>167</v>
      </c>
      <c r="D38" s="24" t="s">
        <v>10</v>
      </c>
      <c r="E38" s="14" t="s">
        <v>172</v>
      </c>
      <c r="F38" s="13" t="s">
        <v>18</v>
      </c>
      <c r="G38" s="13" t="s">
        <v>14</v>
      </c>
      <c r="H38" s="13" t="s">
        <v>16</v>
      </c>
      <c r="I38" s="15" t="s">
        <v>12</v>
      </c>
      <c r="J38" s="13" t="s">
        <v>25</v>
      </c>
      <c r="K38" s="16">
        <v>14.919999999999987</v>
      </c>
      <c r="L38" s="81">
        <v>7000</v>
      </c>
      <c r="M38" s="17">
        <f t="shared" ref="M38:M43" si="4">K38*L38</f>
        <v>104439.99999999991</v>
      </c>
      <c r="N38" s="17">
        <f>M38</f>
        <v>104439.99999999991</v>
      </c>
      <c r="O38" s="92"/>
      <c r="P38" s="92"/>
      <c r="Q38" s="91">
        <f t="shared" si="3"/>
        <v>0</v>
      </c>
      <c r="R38" s="17" t="s">
        <v>66</v>
      </c>
      <c r="S38" s="39" t="s">
        <v>97</v>
      </c>
      <c r="T38" s="18" t="s">
        <v>70</v>
      </c>
      <c r="U38" s="23"/>
      <c r="V38" s="97"/>
      <c r="W38" s="23">
        <v>42614</v>
      </c>
      <c r="X38" s="23">
        <v>42444</v>
      </c>
      <c r="Y38" s="23">
        <v>42628</v>
      </c>
      <c r="Z38" s="21" t="s">
        <v>217</v>
      </c>
      <c r="AA38" s="126"/>
      <c r="AB38" s="130">
        <v>0</v>
      </c>
      <c r="AC38" s="130">
        <f t="shared" si="2"/>
        <v>0</v>
      </c>
    </row>
    <row r="39" spans="2:29" ht="60" x14ac:dyDescent="0.25">
      <c r="B39" s="57">
        <v>35</v>
      </c>
      <c r="C39" s="154" t="s">
        <v>166</v>
      </c>
      <c r="D39" s="24" t="s">
        <v>6</v>
      </c>
      <c r="E39" s="14" t="s">
        <v>172</v>
      </c>
      <c r="F39" s="13" t="s">
        <v>18</v>
      </c>
      <c r="G39" s="13" t="s">
        <v>44</v>
      </c>
      <c r="H39" s="13" t="s">
        <v>16</v>
      </c>
      <c r="I39" s="15" t="s">
        <v>12</v>
      </c>
      <c r="J39" s="13" t="s">
        <v>25</v>
      </c>
      <c r="K39" s="16">
        <v>6.2400000000000091</v>
      </c>
      <c r="L39" s="81">
        <v>11000</v>
      </c>
      <c r="M39" s="17">
        <f t="shared" si="4"/>
        <v>68640.000000000102</v>
      </c>
      <c r="N39" s="17">
        <f>M39</f>
        <v>68640.000000000102</v>
      </c>
      <c r="O39" s="92"/>
      <c r="P39" s="92"/>
      <c r="Q39" s="91">
        <f t="shared" si="3"/>
        <v>0</v>
      </c>
      <c r="R39" s="28" t="s">
        <v>91</v>
      </c>
      <c r="S39" s="40">
        <v>5</v>
      </c>
      <c r="T39" s="18" t="s">
        <v>70</v>
      </c>
      <c r="U39" s="23" t="s">
        <v>89</v>
      </c>
      <c r="V39" s="23"/>
      <c r="W39" s="23">
        <v>42614</v>
      </c>
      <c r="X39" s="13"/>
      <c r="Y39" s="23">
        <v>42628</v>
      </c>
      <c r="Z39" s="21" t="s">
        <v>184</v>
      </c>
      <c r="AA39" s="126"/>
      <c r="AB39" s="130">
        <v>0</v>
      </c>
      <c r="AC39" s="130">
        <f t="shared" si="2"/>
        <v>0</v>
      </c>
    </row>
    <row r="40" spans="2:29" ht="60" x14ac:dyDescent="0.25">
      <c r="B40" s="57">
        <v>36</v>
      </c>
      <c r="C40" s="154" t="s">
        <v>166</v>
      </c>
      <c r="D40" s="83" t="s">
        <v>7</v>
      </c>
      <c r="E40" s="14" t="s">
        <v>172</v>
      </c>
      <c r="F40" s="13" t="s">
        <v>18</v>
      </c>
      <c r="G40" s="13" t="s">
        <v>14</v>
      </c>
      <c r="H40" s="13" t="s">
        <v>16</v>
      </c>
      <c r="I40" s="15" t="s">
        <v>12</v>
      </c>
      <c r="J40" s="13" t="s">
        <v>25</v>
      </c>
      <c r="K40" s="16">
        <v>223</v>
      </c>
      <c r="L40" s="81">
        <v>300</v>
      </c>
      <c r="M40" s="17">
        <f t="shared" si="4"/>
        <v>66900</v>
      </c>
      <c r="N40" s="17">
        <f>M40</f>
        <v>66900</v>
      </c>
      <c r="O40" s="92"/>
      <c r="P40" s="92"/>
      <c r="Q40" s="91">
        <f t="shared" si="3"/>
        <v>0</v>
      </c>
      <c r="R40" s="17" t="s">
        <v>66</v>
      </c>
      <c r="S40" s="39" t="s">
        <v>97</v>
      </c>
      <c r="T40" s="18" t="s">
        <v>70</v>
      </c>
      <c r="U40" s="23" t="s">
        <v>88</v>
      </c>
      <c r="V40" s="23"/>
      <c r="W40" s="23">
        <v>42583</v>
      </c>
      <c r="X40" s="13"/>
      <c r="Y40" s="13"/>
      <c r="Z40" s="21" t="s">
        <v>302</v>
      </c>
      <c r="AA40" s="126"/>
      <c r="AB40" s="130">
        <v>0</v>
      </c>
      <c r="AC40" s="130">
        <f t="shared" si="2"/>
        <v>0</v>
      </c>
    </row>
    <row r="41" spans="2:29" ht="60" x14ac:dyDescent="0.25">
      <c r="B41" s="57">
        <v>37</v>
      </c>
      <c r="C41" s="154" t="s">
        <v>166</v>
      </c>
      <c r="D41" s="24" t="s">
        <v>21</v>
      </c>
      <c r="E41" s="14" t="s">
        <v>172</v>
      </c>
      <c r="F41" s="13" t="s">
        <v>18</v>
      </c>
      <c r="G41" s="13" t="s">
        <v>14</v>
      </c>
      <c r="H41" s="13" t="s">
        <v>16</v>
      </c>
      <c r="I41" s="15" t="s">
        <v>12</v>
      </c>
      <c r="J41" s="13" t="s">
        <v>25</v>
      </c>
      <c r="K41" s="16">
        <v>12.150000000000006</v>
      </c>
      <c r="L41" s="81">
        <v>5000</v>
      </c>
      <c r="M41" s="17">
        <f t="shared" si="4"/>
        <v>60750.000000000029</v>
      </c>
      <c r="N41" s="17">
        <f>M41</f>
        <v>60750.000000000029</v>
      </c>
      <c r="O41" s="92"/>
      <c r="P41" s="92"/>
      <c r="Q41" s="91">
        <f t="shared" si="3"/>
        <v>0</v>
      </c>
      <c r="R41" s="17" t="s">
        <v>66</v>
      </c>
      <c r="S41" s="39" t="s">
        <v>97</v>
      </c>
      <c r="T41" s="18" t="s">
        <v>70</v>
      </c>
      <c r="U41" s="23" t="s">
        <v>88</v>
      </c>
      <c r="V41" s="23">
        <v>42644</v>
      </c>
      <c r="W41" s="23"/>
      <c r="X41" s="13"/>
      <c r="Y41" s="23">
        <v>42658</v>
      </c>
      <c r="Z41" s="21" t="s">
        <v>283</v>
      </c>
      <c r="AA41" s="126" t="s">
        <v>230</v>
      </c>
      <c r="AB41" s="130">
        <v>0</v>
      </c>
      <c r="AC41" s="130">
        <f t="shared" si="2"/>
        <v>0</v>
      </c>
    </row>
    <row r="42" spans="2:29" ht="60" x14ac:dyDescent="0.25">
      <c r="B42" s="57">
        <v>38</v>
      </c>
      <c r="C42" s="154" t="s">
        <v>161</v>
      </c>
      <c r="D42" s="24" t="s">
        <v>46</v>
      </c>
      <c r="E42" s="14" t="s">
        <v>20</v>
      </c>
      <c r="F42" s="13" t="s">
        <v>18</v>
      </c>
      <c r="G42" s="13" t="s">
        <v>15</v>
      </c>
      <c r="H42" s="13" t="s">
        <v>16</v>
      </c>
      <c r="I42" s="15" t="s">
        <v>129</v>
      </c>
      <c r="J42" s="13" t="s">
        <v>26</v>
      </c>
      <c r="K42" s="16">
        <f>35*5</f>
        <v>175</v>
      </c>
      <c r="L42" s="81">
        <v>200</v>
      </c>
      <c r="M42" s="17">
        <f t="shared" si="4"/>
        <v>35000</v>
      </c>
      <c r="N42" s="17">
        <f>M42/2</f>
        <v>17500</v>
      </c>
      <c r="O42" s="92"/>
      <c r="P42" s="92"/>
      <c r="Q42" s="91">
        <f t="shared" si="3"/>
        <v>0</v>
      </c>
      <c r="R42" s="17" t="s">
        <v>66</v>
      </c>
      <c r="S42" s="40">
        <v>2</v>
      </c>
      <c r="T42" s="18" t="s">
        <v>17</v>
      </c>
      <c r="U42" s="22" t="s">
        <v>31</v>
      </c>
      <c r="V42" s="96"/>
      <c r="W42" s="23"/>
      <c r="X42" s="23"/>
      <c r="Y42" s="22"/>
      <c r="Z42" s="21" t="s">
        <v>303</v>
      </c>
      <c r="AA42" s="126" t="s">
        <v>260</v>
      </c>
      <c r="AB42" s="130">
        <v>0</v>
      </c>
      <c r="AC42" s="130">
        <f t="shared" si="2"/>
        <v>0</v>
      </c>
    </row>
    <row r="43" spans="2:29" ht="60" x14ac:dyDescent="0.25">
      <c r="B43" s="57">
        <v>39</v>
      </c>
      <c r="C43" s="154" t="s">
        <v>167</v>
      </c>
      <c r="D43" s="24" t="s">
        <v>216</v>
      </c>
      <c r="E43" s="14" t="s">
        <v>172</v>
      </c>
      <c r="F43" s="13" t="s">
        <v>22</v>
      </c>
      <c r="G43" s="13" t="s">
        <v>14</v>
      </c>
      <c r="H43" s="13" t="s">
        <v>16</v>
      </c>
      <c r="I43" s="15" t="s">
        <v>12</v>
      </c>
      <c r="J43" s="13" t="s">
        <v>25</v>
      </c>
      <c r="K43" s="16">
        <v>23.75</v>
      </c>
      <c r="L43" s="81">
        <v>1200</v>
      </c>
      <c r="M43" s="17">
        <f t="shared" si="4"/>
        <v>28500</v>
      </c>
      <c r="N43" s="17">
        <f>M43</f>
        <v>28500</v>
      </c>
      <c r="O43" s="92"/>
      <c r="P43" s="92"/>
      <c r="Q43" s="91">
        <f t="shared" si="3"/>
        <v>0</v>
      </c>
      <c r="R43" s="17" t="s">
        <v>66</v>
      </c>
      <c r="S43" s="39" t="s">
        <v>97</v>
      </c>
      <c r="T43" s="18" t="s">
        <v>71</v>
      </c>
      <c r="U43" s="23">
        <v>42122</v>
      </c>
      <c r="V43" s="97"/>
      <c r="W43" s="23">
        <v>42612</v>
      </c>
      <c r="X43" s="23"/>
      <c r="Y43" s="22">
        <v>42644</v>
      </c>
      <c r="Z43" s="21" t="s">
        <v>217</v>
      </c>
      <c r="AA43" s="126"/>
      <c r="AB43" s="130">
        <v>0</v>
      </c>
      <c r="AC43" s="130">
        <f t="shared" si="2"/>
        <v>0</v>
      </c>
    </row>
    <row r="44" spans="2:29" ht="105" x14ac:dyDescent="0.25">
      <c r="B44" s="57">
        <v>40</v>
      </c>
      <c r="C44" s="155" t="s">
        <v>161</v>
      </c>
      <c r="D44" s="24" t="s">
        <v>130</v>
      </c>
      <c r="E44" s="14" t="s">
        <v>172</v>
      </c>
      <c r="F44" s="13" t="s">
        <v>18</v>
      </c>
      <c r="G44" s="13" t="s">
        <v>14</v>
      </c>
      <c r="H44" s="13"/>
      <c r="I44" s="15" t="s">
        <v>129</v>
      </c>
      <c r="J44" s="13" t="s">
        <v>192</v>
      </c>
      <c r="K44" s="16">
        <v>0.79</v>
      </c>
      <c r="L44" s="17">
        <v>760000</v>
      </c>
      <c r="M44" s="17">
        <f>L44*K44</f>
        <v>600400</v>
      </c>
      <c r="N44" s="17"/>
      <c r="O44" s="92"/>
      <c r="P44" s="92"/>
      <c r="Q44" s="91">
        <f t="shared" si="3"/>
        <v>0</v>
      </c>
      <c r="R44" s="17" t="s">
        <v>66</v>
      </c>
      <c r="S44" s="40">
        <v>0</v>
      </c>
      <c r="T44" s="18" t="s">
        <v>28</v>
      </c>
      <c r="U44" s="22">
        <v>42675</v>
      </c>
      <c r="V44" s="96"/>
      <c r="W44" s="97"/>
      <c r="X44" s="23"/>
      <c r="Y44" s="22"/>
      <c r="Z44" s="21" t="s">
        <v>282</v>
      </c>
      <c r="AA44" s="126" t="s">
        <v>231</v>
      </c>
      <c r="AB44" s="130">
        <v>100066.66666666667</v>
      </c>
      <c r="AC44" s="130">
        <f t="shared" si="2"/>
        <v>-100066.66666666667</v>
      </c>
    </row>
    <row r="45" spans="2:29" ht="90" x14ac:dyDescent="0.25">
      <c r="B45" s="57">
        <v>41</v>
      </c>
      <c r="C45" s="156" t="s">
        <v>166</v>
      </c>
      <c r="D45" s="84" t="s">
        <v>250</v>
      </c>
      <c r="E45" s="14" t="s">
        <v>279</v>
      </c>
      <c r="F45" s="19" t="s">
        <v>18</v>
      </c>
      <c r="G45" s="19" t="s">
        <v>14</v>
      </c>
      <c r="H45" s="19"/>
      <c r="I45" s="26" t="s">
        <v>32</v>
      </c>
      <c r="J45" s="13" t="s">
        <v>192</v>
      </c>
      <c r="K45" s="27">
        <v>0.27</v>
      </c>
      <c r="L45" s="28">
        <v>2333333.333333333</v>
      </c>
      <c r="M45" s="28">
        <f>K45*L45*0</f>
        <v>0</v>
      </c>
      <c r="N45" s="17">
        <f>M45/12*7</f>
        <v>0</v>
      </c>
      <c r="O45" s="92"/>
      <c r="P45" s="92"/>
      <c r="Q45" s="91">
        <f t="shared" si="3"/>
        <v>0</v>
      </c>
      <c r="R45" s="28" t="s">
        <v>91</v>
      </c>
      <c r="S45" s="40">
        <v>5</v>
      </c>
      <c r="T45" s="29" t="s">
        <v>28</v>
      </c>
      <c r="U45" s="101"/>
      <c r="V45" s="102"/>
      <c r="W45" s="101"/>
      <c r="X45" s="101"/>
      <c r="Y45" s="103" t="s">
        <v>31</v>
      </c>
      <c r="Z45" s="30" t="s">
        <v>220</v>
      </c>
      <c r="AA45" s="126"/>
      <c r="AB45" s="130">
        <v>0</v>
      </c>
      <c r="AC45" s="130">
        <f t="shared" si="2"/>
        <v>0</v>
      </c>
    </row>
    <row r="46" spans="2:29" ht="90.75" x14ac:dyDescent="0.25">
      <c r="B46" s="57">
        <v>42</v>
      </c>
      <c r="C46" s="157" t="s">
        <v>161</v>
      </c>
      <c r="D46" s="84" t="s">
        <v>251</v>
      </c>
      <c r="E46" s="25" t="s">
        <v>20</v>
      </c>
      <c r="F46" s="19" t="s">
        <v>18</v>
      </c>
      <c r="G46" s="19" t="s">
        <v>14</v>
      </c>
      <c r="H46" s="19" t="s">
        <v>16</v>
      </c>
      <c r="I46" s="30" t="s">
        <v>19</v>
      </c>
      <c r="J46" s="13" t="s">
        <v>26</v>
      </c>
      <c r="K46" s="27">
        <v>4000</v>
      </c>
      <c r="L46" s="28">
        <v>600</v>
      </c>
      <c r="M46" s="28">
        <f>L46*K46</f>
        <v>2400000</v>
      </c>
      <c r="N46" s="17">
        <v>0</v>
      </c>
      <c r="O46" s="92"/>
      <c r="P46" s="92"/>
      <c r="Q46" s="91">
        <f t="shared" si="3"/>
        <v>0</v>
      </c>
      <c r="R46" s="17" t="s">
        <v>66</v>
      </c>
      <c r="S46" s="40">
        <v>2</v>
      </c>
      <c r="T46" s="29" t="s">
        <v>17</v>
      </c>
      <c r="U46" s="79">
        <v>42767</v>
      </c>
      <c r="V46" s="19"/>
      <c r="W46" s="104"/>
      <c r="X46" s="104"/>
      <c r="Y46" s="104"/>
      <c r="Z46" s="172" t="s">
        <v>328</v>
      </c>
      <c r="AA46" s="126" t="s">
        <v>261</v>
      </c>
      <c r="AB46" s="130">
        <v>0</v>
      </c>
      <c r="AC46" s="130">
        <f t="shared" si="2"/>
        <v>0</v>
      </c>
    </row>
    <row r="47" spans="2:29" ht="75" x14ac:dyDescent="0.25">
      <c r="B47" s="57">
        <v>43</v>
      </c>
      <c r="C47" s="154" t="s">
        <v>166</v>
      </c>
      <c r="D47" s="24" t="s">
        <v>48</v>
      </c>
      <c r="E47" s="14" t="s">
        <v>20</v>
      </c>
      <c r="F47" s="13" t="s">
        <v>18</v>
      </c>
      <c r="G47" s="13" t="s">
        <v>44</v>
      </c>
      <c r="H47" s="13"/>
      <c r="I47" s="15" t="s">
        <v>129</v>
      </c>
      <c r="J47" s="13"/>
      <c r="K47" s="16"/>
      <c r="L47" s="81"/>
      <c r="M47" s="17"/>
      <c r="N47" s="17"/>
      <c r="O47" s="92"/>
      <c r="P47" s="92"/>
      <c r="Q47" s="91">
        <f t="shared" si="3"/>
        <v>0</v>
      </c>
      <c r="R47" s="28" t="s">
        <v>91</v>
      </c>
      <c r="S47" s="40">
        <v>5</v>
      </c>
      <c r="T47" s="80" t="s">
        <v>17</v>
      </c>
      <c r="U47" s="23"/>
      <c r="V47" s="97"/>
      <c r="W47" s="23"/>
      <c r="X47" s="23"/>
      <c r="Y47" s="22"/>
      <c r="Z47" s="21" t="s">
        <v>179</v>
      </c>
      <c r="AA47" s="126"/>
      <c r="AB47" s="130">
        <v>0</v>
      </c>
      <c r="AC47" s="130">
        <f t="shared" si="2"/>
        <v>0</v>
      </c>
    </row>
    <row r="48" spans="2:29" ht="45" x14ac:dyDescent="0.25">
      <c r="B48" s="57">
        <v>44</v>
      </c>
      <c r="C48" s="154" t="s">
        <v>161</v>
      </c>
      <c r="D48" s="24" t="s">
        <v>50</v>
      </c>
      <c r="E48" s="18" t="s">
        <v>20</v>
      </c>
      <c r="F48" s="13" t="s">
        <v>51</v>
      </c>
      <c r="G48" s="13" t="s">
        <v>44</v>
      </c>
      <c r="H48" s="13" t="s">
        <v>16</v>
      </c>
      <c r="I48" s="15" t="s">
        <v>187</v>
      </c>
      <c r="J48" s="13" t="s">
        <v>26</v>
      </c>
      <c r="K48" s="16">
        <v>3625.0595130735237</v>
      </c>
      <c r="L48" s="113">
        <v>1200</v>
      </c>
      <c r="M48" s="17">
        <f>L48*K48</f>
        <v>4350071.4156882288</v>
      </c>
      <c r="N48" s="17">
        <f>(M48/12)*4</f>
        <v>1450023.8052294096</v>
      </c>
      <c r="O48" s="92"/>
      <c r="P48" s="169"/>
      <c r="Q48" s="91">
        <f t="shared" ref="Q48:Q65" si="5">O48+P48</f>
        <v>0</v>
      </c>
      <c r="R48" s="28" t="s">
        <v>91</v>
      </c>
      <c r="S48" s="40">
        <v>5</v>
      </c>
      <c r="T48" s="18" t="s">
        <v>173</v>
      </c>
      <c r="U48" s="22" t="s">
        <v>68</v>
      </c>
      <c r="V48" s="96"/>
      <c r="W48" s="97" t="s">
        <v>69</v>
      </c>
      <c r="X48" s="23"/>
      <c r="Y48" s="22"/>
      <c r="Z48" s="21" t="s">
        <v>301</v>
      </c>
      <c r="AA48" s="128" t="s">
        <v>198</v>
      </c>
      <c r="AB48" s="130">
        <v>0</v>
      </c>
      <c r="AC48" s="130">
        <f t="shared" si="2"/>
        <v>0</v>
      </c>
    </row>
    <row r="49" spans="2:29" ht="45" x14ac:dyDescent="0.25">
      <c r="B49" s="57">
        <v>45</v>
      </c>
      <c r="C49" s="154" t="s">
        <v>167</v>
      </c>
      <c r="D49" s="24" t="s">
        <v>53</v>
      </c>
      <c r="E49" s="18" t="s">
        <v>77</v>
      </c>
      <c r="F49" s="13" t="s">
        <v>51</v>
      </c>
      <c r="G49" s="13" t="s">
        <v>44</v>
      </c>
      <c r="H49" s="13" t="s">
        <v>16</v>
      </c>
      <c r="I49" s="15" t="s">
        <v>52</v>
      </c>
      <c r="J49" s="13" t="s">
        <v>26</v>
      </c>
      <c r="K49" s="16"/>
      <c r="L49" s="81"/>
      <c r="M49" s="17"/>
      <c r="N49" s="17"/>
      <c r="O49" s="92"/>
      <c r="P49" s="92"/>
      <c r="Q49" s="91">
        <f t="shared" si="5"/>
        <v>0</v>
      </c>
      <c r="R49" s="28" t="s">
        <v>91</v>
      </c>
      <c r="S49" s="40">
        <v>5</v>
      </c>
      <c r="T49" s="18"/>
      <c r="U49" s="22" t="s">
        <v>68</v>
      </c>
      <c r="V49" s="96"/>
      <c r="W49" s="97" t="s">
        <v>69</v>
      </c>
      <c r="X49" s="23"/>
      <c r="Y49" s="22"/>
      <c r="Z49" s="21" t="s">
        <v>168</v>
      </c>
      <c r="AA49" s="126"/>
      <c r="AB49" s="130">
        <v>0</v>
      </c>
      <c r="AC49" s="130">
        <f t="shared" si="2"/>
        <v>0</v>
      </c>
    </row>
    <row r="50" spans="2:29" ht="30" x14ac:dyDescent="0.25">
      <c r="B50" s="57">
        <v>46</v>
      </c>
      <c r="C50" s="154" t="s">
        <v>166</v>
      </c>
      <c r="D50" s="24" t="s">
        <v>252</v>
      </c>
      <c r="E50" s="18" t="s">
        <v>77</v>
      </c>
      <c r="F50" s="13" t="s">
        <v>51</v>
      </c>
      <c r="G50" s="13" t="s">
        <v>44</v>
      </c>
      <c r="H50" s="13" t="s">
        <v>16</v>
      </c>
      <c r="I50" s="15" t="s">
        <v>54</v>
      </c>
      <c r="J50" s="13" t="s">
        <v>26</v>
      </c>
      <c r="K50" s="16"/>
      <c r="L50" s="81"/>
      <c r="M50" s="17"/>
      <c r="N50" s="17"/>
      <c r="O50" s="92"/>
      <c r="P50" s="92"/>
      <c r="Q50" s="91">
        <f t="shared" si="5"/>
        <v>0</v>
      </c>
      <c r="R50" s="28" t="s">
        <v>91</v>
      </c>
      <c r="S50" s="40">
        <v>5</v>
      </c>
      <c r="T50" s="18"/>
      <c r="U50" s="22" t="s">
        <v>68</v>
      </c>
      <c r="V50" s="96"/>
      <c r="W50" s="97" t="s">
        <v>69</v>
      </c>
      <c r="X50" s="23"/>
      <c r="Y50" s="22"/>
      <c r="Z50" s="21" t="s">
        <v>169</v>
      </c>
      <c r="AA50" s="126"/>
      <c r="AB50" s="130">
        <v>0</v>
      </c>
      <c r="AC50" s="130">
        <f t="shared" si="2"/>
        <v>0</v>
      </c>
    </row>
    <row r="51" spans="2:29" ht="30" x14ac:dyDescent="0.25">
      <c r="B51" s="57">
        <v>47</v>
      </c>
      <c r="C51" s="154" t="s">
        <v>174</v>
      </c>
      <c r="D51" s="24" t="s">
        <v>253</v>
      </c>
      <c r="E51" s="18" t="s">
        <v>77</v>
      </c>
      <c r="F51" s="13" t="s">
        <v>51</v>
      </c>
      <c r="G51" s="13" t="s">
        <v>44</v>
      </c>
      <c r="H51" s="13" t="s">
        <v>16</v>
      </c>
      <c r="I51" s="15" t="s">
        <v>54</v>
      </c>
      <c r="J51" s="13" t="s">
        <v>26</v>
      </c>
      <c r="K51" s="16">
        <v>5661</v>
      </c>
      <c r="L51" s="81">
        <v>2700</v>
      </c>
      <c r="M51" s="17">
        <f>L51*K51</f>
        <v>15284700</v>
      </c>
      <c r="N51" s="17"/>
      <c r="O51" s="92">
        <f>13638981.5743933-1327215+144192</f>
        <v>12455958.5743933</v>
      </c>
      <c r="P51" s="92"/>
      <c r="Q51" s="91">
        <f t="shared" si="5"/>
        <v>12455958.5743933</v>
      </c>
      <c r="R51" s="28" t="s">
        <v>91</v>
      </c>
      <c r="S51" s="40">
        <v>5</v>
      </c>
      <c r="T51" s="18"/>
      <c r="U51" s="22" t="s">
        <v>68</v>
      </c>
      <c r="V51" s="95">
        <v>42461</v>
      </c>
      <c r="W51" s="95">
        <v>42795</v>
      </c>
      <c r="X51" s="23"/>
      <c r="Y51" s="22"/>
      <c r="Z51" s="21"/>
      <c r="AA51" s="125" t="s">
        <v>189</v>
      </c>
      <c r="AB51" s="130">
        <v>12455958.5743933</v>
      </c>
      <c r="AC51" s="130">
        <f t="shared" si="2"/>
        <v>0</v>
      </c>
    </row>
    <row r="52" spans="2:29" ht="30" x14ac:dyDescent="0.25">
      <c r="B52" s="57">
        <v>48</v>
      </c>
      <c r="C52" s="154" t="s">
        <v>166</v>
      </c>
      <c r="D52" s="24" t="s">
        <v>59</v>
      </c>
      <c r="E52" s="18" t="s">
        <v>77</v>
      </c>
      <c r="F52" s="13" t="s">
        <v>51</v>
      </c>
      <c r="G52" s="13" t="s">
        <v>44</v>
      </c>
      <c r="H52" s="13" t="s">
        <v>16</v>
      </c>
      <c r="I52" s="15" t="s">
        <v>60</v>
      </c>
      <c r="J52" s="13"/>
      <c r="K52" s="16"/>
      <c r="L52" s="81"/>
      <c r="M52" s="17"/>
      <c r="N52" s="17"/>
      <c r="O52" s="92"/>
      <c r="P52" s="92"/>
      <c r="Q52" s="91">
        <f t="shared" si="5"/>
        <v>0</v>
      </c>
      <c r="R52" s="28" t="s">
        <v>91</v>
      </c>
      <c r="S52" s="40">
        <v>5</v>
      </c>
      <c r="T52" s="18"/>
      <c r="U52" s="22" t="s">
        <v>68</v>
      </c>
      <c r="V52" s="96"/>
      <c r="W52" s="97" t="s">
        <v>69</v>
      </c>
      <c r="X52" s="23"/>
      <c r="Y52" s="22"/>
      <c r="Z52" s="21" t="s">
        <v>170</v>
      </c>
      <c r="AA52" s="126"/>
      <c r="AB52" s="130">
        <v>0</v>
      </c>
      <c r="AC52" s="130">
        <f t="shared" si="2"/>
        <v>0</v>
      </c>
    </row>
    <row r="53" spans="2:29" ht="30" x14ac:dyDescent="0.25">
      <c r="B53" s="57">
        <v>49</v>
      </c>
      <c r="C53" s="154" t="s">
        <v>166</v>
      </c>
      <c r="D53" s="24" t="s">
        <v>61</v>
      </c>
      <c r="E53" s="18" t="s">
        <v>77</v>
      </c>
      <c r="F53" s="13" t="s">
        <v>51</v>
      </c>
      <c r="G53" s="13" t="s">
        <v>44</v>
      </c>
      <c r="H53" s="13" t="s">
        <v>16</v>
      </c>
      <c r="I53" s="15" t="s">
        <v>60</v>
      </c>
      <c r="J53" s="13"/>
      <c r="K53" s="16"/>
      <c r="L53" s="81"/>
      <c r="M53" s="17"/>
      <c r="N53" s="17"/>
      <c r="O53" s="92"/>
      <c r="P53" s="92"/>
      <c r="Q53" s="91">
        <f t="shared" si="5"/>
        <v>0</v>
      </c>
      <c r="R53" s="28" t="s">
        <v>91</v>
      </c>
      <c r="S53" s="40">
        <v>5</v>
      </c>
      <c r="T53" s="18"/>
      <c r="U53" s="22" t="s">
        <v>68</v>
      </c>
      <c r="V53" s="96"/>
      <c r="W53" s="97" t="s">
        <v>69</v>
      </c>
      <c r="X53" s="23"/>
      <c r="Y53" s="22"/>
      <c r="Z53" s="21" t="s">
        <v>170</v>
      </c>
      <c r="AA53" s="126"/>
      <c r="AB53" s="130">
        <v>0</v>
      </c>
      <c r="AC53" s="130">
        <f t="shared" si="2"/>
        <v>0</v>
      </c>
    </row>
    <row r="54" spans="2:29" ht="30" x14ac:dyDescent="0.25">
      <c r="B54" s="57">
        <v>50</v>
      </c>
      <c r="C54" s="154" t="s">
        <v>166</v>
      </c>
      <c r="D54" s="24" t="s">
        <v>62</v>
      </c>
      <c r="E54" s="18" t="s">
        <v>77</v>
      </c>
      <c r="F54" s="13" t="s">
        <v>51</v>
      </c>
      <c r="G54" s="13" t="s">
        <v>44</v>
      </c>
      <c r="H54" s="13" t="s">
        <v>16</v>
      </c>
      <c r="I54" s="15" t="s">
        <v>60</v>
      </c>
      <c r="J54" s="13" t="s">
        <v>26</v>
      </c>
      <c r="K54" s="16"/>
      <c r="L54" s="81"/>
      <c r="M54" s="17"/>
      <c r="N54" s="17"/>
      <c r="O54" s="92"/>
      <c r="P54" s="92"/>
      <c r="Q54" s="91">
        <f t="shared" si="5"/>
        <v>0</v>
      </c>
      <c r="R54" s="28" t="s">
        <v>91</v>
      </c>
      <c r="S54" s="40">
        <v>5</v>
      </c>
      <c r="T54" s="18"/>
      <c r="U54" s="22" t="s">
        <v>68</v>
      </c>
      <c r="V54" s="96"/>
      <c r="W54" s="97" t="s">
        <v>69</v>
      </c>
      <c r="X54" s="23"/>
      <c r="Y54" s="22"/>
      <c r="Z54" s="21" t="s">
        <v>188</v>
      </c>
      <c r="AA54" s="126"/>
      <c r="AB54" s="130">
        <v>0</v>
      </c>
      <c r="AC54" s="130">
        <f t="shared" si="2"/>
        <v>0</v>
      </c>
    </row>
    <row r="55" spans="2:29" ht="30" x14ac:dyDescent="0.25">
      <c r="B55" s="57">
        <v>51</v>
      </c>
      <c r="C55" s="154" t="s">
        <v>166</v>
      </c>
      <c r="D55" s="24" t="s">
        <v>63</v>
      </c>
      <c r="E55" s="18" t="s">
        <v>77</v>
      </c>
      <c r="F55" s="13" t="s">
        <v>51</v>
      </c>
      <c r="G55" s="13" t="s">
        <v>44</v>
      </c>
      <c r="H55" s="13" t="s">
        <v>16</v>
      </c>
      <c r="I55" s="15" t="s">
        <v>60</v>
      </c>
      <c r="J55" s="13"/>
      <c r="K55" s="16"/>
      <c r="L55" s="81"/>
      <c r="M55" s="17"/>
      <c r="N55" s="17"/>
      <c r="O55" s="92"/>
      <c r="P55" s="92"/>
      <c r="Q55" s="91">
        <f t="shared" si="5"/>
        <v>0</v>
      </c>
      <c r="R55" s="28" t="s">
        <v>91</v>
      </c>
      <c r="S55" s="40">
        <v>5</v>
      </c>
      <c r="T55" s="18"/>
      <c r="U55" s="22" t="s">
        <v>68</v>
      </c>
      <c r="V55" s="96"/>
      <c r="W55" s="97" t="s">
        <v>69</v>
      </c>
      <c r="X55" s="23"/>
      <c r="Y55" s="22"/>
      <c r="Z55" s="21" t="s">
        <v>171</v>
      </c>
      <c r="AA55" s="126"/>
      <c r="AB55" s="130">
        <v>0</v>
      </c>
      <c r="AC55" s="130">
        <f t="shared" si="2"/>
        <v>0</v>
      </c>
    </row>
    <row r="56" spans="2:29" ht="30" x14ac:dyDescent="0.25">
      <c r="B56" s="57">
        <v>52</v>
      </c>
      <c r="C56" s="154" t="s">
        <v>166</v>
      </c>
      <c r="D56" s="24" t="s">
        <v>64</v>
      </c>
      <c r="E56" s="18" t="s">
        <v>77</v>
      </c>
      <c r="F56" s="13" t="s">
        <v>51</v>
      </c>
      <c r="G56" s="13" t="s">
        <v>44</v>
      </c>
      <c r="H56" s="13" t="s">
        <v>16</v>
      </c>
      <c r="I56" s="15" t="s">
        <v>65</v>
      </c>
      <c r="J56" s="13"/>
      <c r="K56" s="16"/>
      <c r="L56" s="81"/>
      <c r="M56" s="17"/>
      <c r="N56" s="17"/>
      <c r="O56" s="92"/>
      <c r="P56" s="92"/>
      <c r="Q56" s="91">
        <f t="shared" si="5"/>
        <v>0</v>
      </c>
      <c r="R56" s="28" t="s">
        <v>91</v>
      </c>
      <c r="S56" s="40">
        <v>5</v>
      </c>
      <c r="T56" s="18"/>
      <c r="U56" s="22" t="s">
        <v>68</v>
      </c>
      <c r="V56" s="96"/>
      <c r="W56" s="97" t="s">
        <v>69</v>
      </c>
      <c r="X56" s="23"/>
      <c r="Y56" s="22"/>
      <c r="Z56" s="21" t="s">
        <v>171</v>
      </c>
      <c r="AA56" s="126"/>
      <c r="AB56" s="130">
        <v>0</v>
      </c>
      <c r="AC56" s="130">
        <f t="shared" si="2"/>
        <v>0</v>
      </c>
    </row>
    <row r="57" spans="2:29" ht="60" x14ac:dyDescent="0.25">
      <c r="B57" s="57">
        <v>53</v>
      </c>
      <c r="C57" s="154" t="s">
        <v>160</v>
      </c>
      <c r="D57" s="24" t="s">
        <v>9</v>
      </c>
      <c r="E57" s="14" t="s">
        <v>172</v>
      </c>
      <c r="F57" s="13" t="s">
        <v>18</v>
      </c>
      <c r="G57" s="13" t="s">
        <v>14</v>
      </c>
      <c r="H57" s="13" t="s">
        <v>16</v>
      </c>
      <c r="I57" s="15" t="s">
        <v>12</v>
      </c>
      <c r="J57" s="13" t="s">
        <v>25</v>
      </c>
      <c r="K57" s="16">
        <v>4.1500000000000004</v>
      </c>
      <c r="L57" s="81">
        <v>2500</v>
      </c>
      <c r="M57" s="17">
        <f>K57*L57</f>
        <v>10375</v>
      </c>
      <c r="N57" s="17">
        <f>(M57/12)*6</f>
        <v>5187.5</v>
      </c>
      <c r="O57" s="92">
        <v>69247</v>
      </c>
      <c r="P57" s="92"/>
      <c r="Q57" s="91">
        <f t="shared" si="5"/>
        <v>69247</v>
      </c>
      <c r="R57" s="17" t="s">
        <v>66</v>
      </c>
      <c r="S57" s="39" t="s">
        <v>97</v>
      </c>
      <c r="T57" s="18" t="s">
        <v>70</v>
      </c>
      <c r="U57" s="23"/>
      <c r="V57" s="96" t="s">
        <v>207</v>
      </c>
      <c r="W57" s="22" t="s">
        <v>208</v>
      </c>
      <c r="X57" s="13"/>
      <c r="Y57" s="23">
        <v>42628</v>
      </c>
      <c r="Z57" s="21" t="s">
        <v>24</v>
      </c>
      <c r="AA57" s="126"/>
      <c r="AB57" s="130">
        <v>75542.181818181823</v>
      </c>
      <c r="AC57" s="130">
        <f t="shared" si="2"/>
        <v>-6295.1818181818235</v>
      </c>
    </row>
    <row r="58" spans="2:29" x14ac:dyDescent="0.25">
      <c r="B58" s="57">
        <v>54</v>
      </c>
      <c r="C58" s="154" t="s">
        <v>161</v>
      </c>
      <c r="D58" s="24" t="s">
        <v>139</v>
      </c>
      <c r="E58" s="14" t="s">
        <v>20</v>
      </c>
      <c r="F58" s="13" t="s">
        <v>22</v>
      </c>
      <c r="G58" s="13" t="s">
        <v>14</v>
      </c>
      <c r="H58" s="13"/>
      <c r="I58" s="15" t="s">
        <v>129</v>
      </c>
      <c r="J58" s="13" t="s">
        <v>26</v>
      </c>
      <c r="K58" s="16">
        <v>6904</v>
      </c>
      <c r="L58" s="81">
        <v>210</v>
      </c>
      <c r="M58" s="17">
        <f>L58*K58</f>
        <v>1449840</v>
      </c>
      <c r="N58" s="17">
        <f>(M58/12)*3</f>
        <v>362460</v>
      </c>
      <c r="O58" s="92"/>
      <c r="P58" s="92"/>
      <c r="Q58" s="91">
        <f t="shared" si="5"/>
        <v>0</v>
      </c>
      <c r="R58" s="17"/>
      <c r="S58" s="40"/>
      <c r="T58" s="80" t="s">
        <v>180</v>
      </c>
      <c r="U58" s="22" t="s">
        <v>82</v>
      </c>
      <c r="V58" s="96"/>
      <c r="W58" s="96" t="s">
        <v>258</v>
      </c>
      <c r="X58" s="23"/>
      <c r="Y58" s="22"/>
      <c r="Z58" s="98" t="s">
        <v>309</v>
      </c>
      <c r="AA58" s="125"/>
      <c r="AB58" s="130">
        <v>88400</v>
      </c>
      <c r="AC58" s="130">
        <f t="shared" si="2"/>
        <v>-88400</v>
      </c>
    </row>
    <row r="59" spans="2:29" ht="60" x14ac:dyDescent="0.25">
      <c r="B59" s="57">
        <v>55</v>
      </c>
      <c r="C59" s="154" t="s">
        <v>174</v>
      </c>
      <c r="D59" s="24" t="s">
        <v>249</v>
      </c>
      <c r="E59" s="14" t="s">
        <v>172</v>
      </c>
      <c r="F59" s="13" t="s">
        <v>22</v>
      </c>
      <c r="G59" s="13" t="s">
        <v>14</v>
      </c>
      <c r="H59" s="13" t="s">
        <v>16</v>
      </c>
      <c r="I59" s="15" t="s">
        <v>12</v>
      </c>
      <c r="J59" s="13" t="s">
        <v>25</v>
      </c>
      <c r="K59" s="16">
        <v>45</v>
      </c>
      <c r="L59" s="81">
        <v>2000</v>
      </c>
      <c r="M59" s="17">
        <f>K59*L59</f>
        <v>90000</v>
      </c>
      <c r="N59" s="17">
        <f>M59</f>
        <v>90000</v>
      </c>
      <c r="O59" s="92">
        <v>53377.5</v>
      </c>
      <c r="P59" s="92"/>
      <c r="Q59" s="91">
        <f t="shared" si="5"/>
        <v>53377.5</v>
      </c>
      <c r="R59" s="17" t="s">
        <v>66</v>
      </c>
      <c r="S59" s="39" t="s">
        <v>97</v>
      </c>
      <c r="T59" s="18" t="s">
        <v>71</v>
      </c>
      <c r="U59" s="23">
        <v>42500</v>
      </c>
      <c r="V59" s="96" t="s">
        <v>218</v>
      </c>
      <c r="W59" s="23">
        <v>42612</v>
      </c>
      <c r="X59" s="22" t="s">
        <v>219</v>
      </c>
      <c r="Y59" s="22">
        <v>42644</v>
      </c>
      <c r="Z59" s="21" t="s">
        <v>75</v>
      </c>
      <c r="AA59" s="126"/>
      <c r="AB59" s="130">
        <v>58230</v>
      </c>
      <c r="AC59" s="130">
        <f t="shared" si="2"/>
        <v>-4852.5</v>
      </c>
    </row>
    <row r="60" spans="2:29" ht="45" x14ac:dyDescent="0.25">
      <c r="B60" s="57">
        <v>56</v>
      </c>
      <c r="C60" s="154" t="s">
        <v>160</v>
      </c>
      <c r="D60" s="24" t="s">
        <v>270</v>
      </c>
      <c r="E60" s="14" t="s">
        <v>172</v>
      </c>
      <c r="F60" s="13" t="s">
        <v>18</v>
      </c>
      <c r="G60" s="13" t="s">
        <v>44</v>
      </c>
      <c r="H60" s="13" t="s">
        <v>16</v>
      </c>
      <c r="I60" s="15" t="s">
        <v>11</v>
      </c>
      <c r="J60" s="13" t="s">
        <v>25</v>
      </c>
      <c r="K60" s="16">
        <v>11.5</v>
      </c>
      <c r="L60" s="81">
        <v>900</v>
      </c>
      <c r="M60" s="17">
        <f>K60*L60</f>
        <v>10350</v>
      </c>
      <c r="N60" s="17">
        <f>M60</f>
        <v>10350</v>
      </c>
      <c r="O60" s="92">
        <f>32144+26345</f>
        <v>58489</v>
      </c>
      <c r="P60" s="92"/>
      <c r="Q60" s="91">
        <f t="shared" si="5"/>
        <v>58489</v>
      </c>
      <c r="R60" s="17" t="s">
        <v>66</v>
      </c>
      <c r="S60" s="39" t="s">
        <v>97</v>
      </c>
      <c r="T60" s="18" t="s">
        <v>70</v>
      </c>
      <c r="U60" s="23"/>
      <c r="V60" s="96" t="s">
        <v>211</v>
      </c>
      <c r="W60" s="22" t="s">
        <v>215</v>
      </c>
      <c r="X60" s="23"/>
      <c r="Y60" s="23">
        <v>42505</v>
      </c>
      <c r="Z60" s="21" t="s">
        <v>74</v>
      </c>
      <c r="AA60" s="126"/>
      <c r="AB60" s="130">
        <v>32144</v>
      </c>
      <c r="AC60" s="130">
        <f t="shared" si="2"/>
        <v>26345</v>
      </c>
    </row>
    <row r="61" spans="2:29" ht="45" x14ac:dyDescent="0.25">
      <c r="B61" s="57">
        <v>57</v>
      </c>
      <c r="C61" s="154" t="s">
        <v>160</v>
      </c>
      <c r="D61" s="24" t="s">
        <v>36</v>
      </c>
      <c r="E61" s="14" t="s">
        <v>172</v>
      </c>
      <c r="F61" s="13" t="s">
        <v>18</v>
      </c>
      <c r="G61" s="13" t="s">
        <v>14</v>
      </c>
      <c r="H61" s="13"/>
      <c r="I61" s="15" t="s">
        <v>228</v>
      </c>
      <c r="J61" s="13" t="s">
        <v>25</v>
      </c>
      <c r="K61" s="16">
        <v>4</v>
      </c>
      <c r="L61" s="17">
        <f>150000*2</f>
        <v>300000</v>
      </c>
      <c r="M61" s="17">
        <f>K61*L61</f>
        <v>1200000</v>
      </c>
      <c r="N61" s="17">
        <f>M61/2</f>
        <v>600000</v>
      </c>
      <c r="O61" s="92"/>
      <c r="P61" s="92"/>
      <c r="Q61" s="91">
        <f t="shared" si="5"/>
        <v>0</v>
      </c>
      <c r="R61" s="17" t="s">
        <v>66</v>
      </c>
      <c r="S61" s="39" t="s">
        <v>97</v>
      </c>
      <c r="T61" s="18" t="s">
        <v>45</v>
      </c>
      <c r="U61" s="23">
        <v>42659</v>
      </c>
      <c r="V61" s="96" t="s">
        <v>255</v>
      </c>
      <c r="W61" s="22" t="s">
        <v>256</v>
      </c>
      <c r="X61" s="23"/>
      <c r="Y61" s="22" t="s">
        <v>35</v>
      </c>
      <c r="Z61" s="21" t="s">
        <v>132</v>
      </c>
      <c r="AA61" s="126"/>
      <c r="AB61" s="130">
        <v>0</v>
      </c>
      <c r="AC61" s="130">
        <f t="shared" si="2"/>
        <v>0</v>
      </c>
    </row>
    <row r="62" spans="2:29" ht="45" x14ac:dyDescent="0.25">
      <c r="B62" s="57">
        <v>58</v>
      </c>
      <c r="C62" s="154" t="s">
        <v>161</v>
      </c>
      <c r="D62" s="24" t="s">
        <v>141</v>
      </c>
      <c r="E62" s="14" t="s">
        <v>172</v>
      </c>
      <c r="F62" s="13" t="s">
        <v>18</v>
      </c>
      <c r="G62" s="13" t="s">
        <v>14</v>
      </c>
      <c r="H62" s="13"/>
      <c r="I62" s="15" t="s">
        <v>129</v>
      </c>
      <c r="J62" s="13" t="s">
        <v>26</v>
      </c>
      <c r="K62" s="16">
        <v>1091</v>
      </c>
      <c r="L62" s="81">
        <v>1500</v>
      </c>
      <c r="M62" s="17">
        <f>K62*L62</f>
        <v>1636500</v>
      </c>
      <c r="N62" s="17">
        <v>0</v>
      </c>
      <c r="O62" s="92"/>
      <c r="P62" s="92"/>
      <c r="Q62" s="91">
        <f t="shared" si="5"/>
        <v>0</v>
      </c>
      <c r="R62" s="17" t="s">
        <v>66</v>
      </c>
      <c r="S62" s="40">
        <v>0</v>
      </c>
      <c r="T62" s="18" t="s">
        <v>142</v>
      </c>
      <c r="U62" s="22" t="s">
        <v>143</v>
      </c>
      <c r="V62" s="96"/>
      <c r="W62" s="97" t="s">
        <v>99</v>
      </c>
      <c r="X62" s="23"/>
      <c r="Y62" s="22"/>
      <c r="Z62" s="191" t="s">
        <v>348</v>
      </c>
      <c r="AA62" s="126" t="s">
        <v>232</v>
      </c>
      <c r="AB62" s="130">
        <v>0</v>
      </c>
      <c r="AC62" s="130">
        <f t="shared" si="2"/>
        <v>0</v>
      </c>
    </row>
    <row r="63" spans="2:29" ht="45" x14ac:dyDescent="0.25">
      <c r="B63" s="57">
        <v>59</v>
      </c>
      <c r="C63" s="154" t="s">
        <v>161</v>
      </c>
      <c r="D63" s="24" t="s">
        <v>254</v>
      </c>
      <c r="E63" s="14" t="s">
        <v>172</v>
      </c>
      <c r="F63" s="13" t="s">
        <v>18</v>
      </c>
      <c r="G63" s="13" t="s">
        <v>14</v>
      </c>
      <c r="H63" s="13"/>
      <c r="I63" s="15" t="s">
        <v>129</v>
      </c>
      <c r="J63" s="13" t="s">
        <v>26</v>
      </c>
      <c r="K63" s="82" t="s">
        <v>144</v>
      </c>
      <c r="L63" s="81">
        <v>1500</v>
      </c>
      <c r="M63" s="17">
        <v>850000</v>
      </c>
      <c r="N63" s="17"/>
      <c r="O63" s="92"/>
      <c r="P63" s="92"/>
      <c r="Q63" s="91">
        <f t="shared" si="5"/>
        <v>0</v>
      </c>
      <c r="R63" s="17" t="s">
        <v>66</v>
      </c>
      <c r="S63" s="40" t="s">
        <v>99</v>
      </c>
      <c r="T63" s="18" t="s">
        <v>28</v>
      </c>
      <c r="U63" s="23"/>
      <c r="V63" s="97"/>
      <c r="W63" s="23"/>
      <c r="X63" s="23"/>
      <c r="Y63" s="22"/>
      <c r="Z63" s="21" t="s">
        <v>281</v>
      </c>
      <c r="AA63" s="126" t="s">
        <v>233</v>
      </c>
      <c r="AB63" s="130">
        <v>0</v>
      </c>
      <c r="AC63" s="130">
        <f t="shared" si="2"/>
        <v>0</v>
      </c>
    </row>
    <row r="64" spans="2:29" ht="136.5" x14ac:dyDescent="0.25">
      <c r="B64" s="57">
        <v>60</v>
      </c>
      <c r="C64" s="158" t="s">
        <v>161</v>
      </c>
      <c r="D64" s="135" t="s">
        <v>299</v>
      </c>
      <c r="E64" s="136" t="s">
        <v>20</v>
      </c>
      <c r="F64" s="137" t="s">
        <v>18</v>
      </c>
      <c r="G64" s="137" t="s">
        <v>14</v>
      </c>
      <c r="H64" s="137"/>
      <c r="I64" s="15" t="s">
        <v>129</v>
      </c>
      <c r="J64" s="137" t="s">
        <v>26</v>
      </c>
      <c r="K64" s="138">
        <v>1521</v>
      </c>
      <c r="L64" s="139">
        <v>1800</v>
      </c>
      <c r="M64" s="140">
        <f>K64*L64</f>
        <v>2737800</v>
      </c>
      <c r="N64" s="140"/>
      <c r="O64" s="141"/>
      <c r="P64" s="141"/>
      <c r="Q64" s="91">
        <f t="shared" si="5"/>
        <v>0</v>
      </c>
      <c r="R64" s="153" t="s">
        <v>91</v>
      </c>
      <c r="S64" s="142"/>
      <c r="T64" s="143"/>
      <c r="U64" s="144"/>
      <c r="V64" s="145"/>
      <c r="W64" s="144"/>
      <c r="X64" s="144"/>
      <c r="Y64" s="146"/>
      <c r="Z64" s="147" t="s">
        <v>329</v>
      </c>
      <c r="AA64" s="148"/>
      <c r="AB64" s="130">
        <v>0</v>
      </c>
      <c r="AC64" s="130">
        <f t="shared" si="2"/>
        <v>0</v>
      </c>
    </row>
    <row r="65" spans="2:29" ht="90" x14ac:dyDescent="0.25">
      <c r="B65" s="57">
        <v>61</v>
      </c>
      <c r="C65" s="161" t="s">
        <v>161</v>
      </c>
      <c r="D65" s="24" t="s">
        <v>285</v>
      </c>
      <c r="E65" s="14" t="s">
        <v>20</v>
      </c>
      <c r="F65" s="13" t="s">
        <v>18</v>
      </c>
      <c r="G65" s="13" t="s">
        <v>14</v>
      </c>
      <c r="H65" s="159"/>
      <c r="I65" s="15" t="s">
        <v>129</v>
      </c>
      <c r="J65" s="13" t="s">
        <v>26</v>
      </c>
      <c r="K65" s="16">
        <v>105.52</v>
      </c>
      <c r="L65" s="81">
        <v>1500</v>
      </c>
      <c r="M65" s="17">
        <f>L65*K65</f>
        <v>158280</v>
      </c>
      <c r="N65" s="17"/>
      <c r="O65" s="92"/>
      <c r="P65" s="92"/>
      <c r="Q65" s="91">
        <f t="shared" si="5"/>
        <v>0</v>
      </c>
      <c r="R65" s="28" t="s">
        <v>91</v>
      </c>
      <c r="S65" s="40"/>
      <c r="T65" s="18"/>
      <c r="U65" s="23"/>
      <c r="V65" s="97"/>
      <c r="W65" s="23"/>
      <c r="X65" s="23"/>
      <c r="Y65" s="22"/>
      <c r="Z65" s="21" t="s">
        <v>286</v>
      </c>
      <c r="AA65" s="160"/>
      <c r="AB65" s="130">
        <v>0</v>
      </c>
      <c r="AC65" s="130">
        <f t="shared" si="2"/>
        <v>0</v>
      </c>
    </row>
    <row r="66" spans="2:29" ht="45" x14ac:dyDescent="0.25">
      <c r="B66" s="57">
        <v>62</v>
      </c>
      <c r="C66" s="161" t="s">
        <v>161</v>
      </c>
      <c r="D66" s="135" t="s">
        <v>345</v>
      </c>
      <c r="E66" s="136" t="s">
        <v>172</v>
      </c>
      <c r="F66" s="137" t="s">
        <v>18</v>
      </c>
      <c r="G66" s="137" t="s">
        <v>15</v>
      </c>
      <c r="H66" s="159"/>
      <c r="I66" s="167" t="s">
        <v>346</v>
      </c>
      <c r="J66" s="137" t="s">
        <v>26</v>
      </c>
      <c r="K66" s="16">
        <v>5786.8553719008269</v>
      </c>
      <c r="L66" s="16">
        <v>726</v>
      </c>
      <c r="M66" s="17">
        <f>L66*K66</f>
        <v>4201257</v>
      </c>
      <c r="N66" s="140"/>
      <c r="O66" s="141"/>
      <c r="P66" s="141"/>
      <c r="Q66" s="168"/>
      <c r="R66" s="153"/>
      <c r="S66" s="142"/>
      <c r="T66" s="143"/>
      <c r="U66" s="144"/>
      <c r="V66" s="145"/>
      <c r="W66" s="144"/>
      <c r="X66" s="144"/>
      <c r="Y66" s="146"/>
      <c r="Z66" s="147" t="s">
        <v>347</v>
      </c>
      <c r="AA66" s="160"/>
      <c r="AB66" s="130"/>
      <c r="AC66" s="130">
        <f t="shared" si="2"/>
        <v>0</v>
      </c>
    </row>
    <row r="67" spans="2:29" ht="45" x14ac:dyDescent="0.25">
      <c r="B67" s="57">
        <v>63</v>
      </c>
      <c r="C67" s="161" t="s">
        <v>161</v>
      </c>
      <c r="D67" s="135" t="s">
        <v>349</v>
      </c>
      <c r="E67" s="136" t="s">
        <v>172</v>
      </c>
      <c r="F67" s="137" t="s">
        <v>350</v>
      </c>
      <c r="G67" s="137" t="s">
        <v>15</v>
      </c>
      <c r="H67" s="159"/>
      <c r="I67" s="167" t="s">
        <v>346</v>
      </c>
      <c r="J67" s="137" t="s">
        <v>26</v>
      </c>
      <c r="K67" s="138">
        <v>1249.82</v>
      </c>
      <c r="L67" s="139">
        <f>(747/8)*12</f>
        <v>1120.5</v>
      </c>
      <c r="M67" s="140">
        <f>K67*L67</f>
        <v>1400423.3099999998</v>
      </c>
      <c r="N67" s="140"/>
      <c r="O67" s="141"/>
      <c r="P67" s="141"/>
      <c r="Q67" s="168"/>
      <c r="R67" s="153"/>
      <c r="S67" s="142"/>
      <c r="T67" s="143"/>
      <c r="U67" s="144"/>
      <c r="V67" s="145"/>
      <c r="W67" s="144"/>
      <c r="X67" s="144"/>
      <c r="Y67" s="146"/>
      <c r="Z67" s="147"/>
      <c r="AA67" s="160"/>
      <c r="AB67" s="130"/>
      <c r="AC67" s="130">
        <f t="shared" si="2"/>
        <v>0</v>
      </c>
    </row>
    <row r="68" spans="2:29" ht="30" x14ac:dyDescent="0.25">
      <c r="B68" s="57">
        <v>64</v>
      </c>
      <c r="C68" s="161" t="s">
        <v>161</v>
      </c>
      <c r="D68" s="135" t="s">
        <v>351</v>
      </c>
      <c r="E68" s="136" t="s">
        <v>172</v>
      </c>
      <c r="F68" s="137" t="s">
        <v>18</v>
      </c>
      <c r="G68" s="137" t="s">
        <v>15</v>
      </c>
      <c r="H68" s="159"/>
      <c r="I68" s="167" t="s">
        <v>129</v>
      </c>
      <c r="J68" s="137" t="s">
        <v>26</v>
      </c>
      <c r="K68" s="138">
        <v>1483</v>
      </c>
      <c r="L68" s="139">
        <v>1200</v>
      </c>
      <c r="M68" s="140">
        <f>K68*L68</f>
        <v>1779600</v>
      </c>
      <c r="N68" s="140"/>
      <c r="O68" s="141"/>
      <c r="P68" s="141"/>
      <c r="Q68" s="168"/>
      <c r="R68" s="153"/>
      <c r="S68" s="142"/>
      <c r="T68" s="143"/>
      <c r="U68" s="144"/>
      <c r="V68" s="145"/>
      <c r="W68" s="144"/>
      <c r="X68" s="144"/>
      <c r="Y68" s="146"/>
      <c r="Z68" s="147"/>
      <c r="AA68" s="160"/>
      <c r="AB68" s="130"/>
      <c r="AC68" s="130">
        <f t="shared" si="2"/>
        <v>0</v>
      </c>
    </row>
    <row r="69" spans="2:29" ht="45" x14ac:dyDescent="0.25">
      <c r="B69" s="57">
        <v>65</v>
      </c>
      <c r="C69" s="161" t="s">
        <v>161</v>
      </c>
      <c r="D69" s="135" t="s">
        <v>352</v>
      </c>
      <c r="E69" s="136" t="s">
        <v>172</v>
      </c>
      <c r="F69" s="137" t="s">
        <v>18</v>
      </c>
      <c r="G69" s="137" t="s">
        <v>15</v>
      </c>
      <c r="H69" s="159"/>
      <c r="I69" s="167" t="s">
        <v>129</v>
      </c>
      <c r="J69" s="137" t="s">
        <v>26</v>
      </c>
      <c r="K69" s="138">
        <v>450</v>
      </c>
      <c r="L69" s="139">
        <v>900</v>
      </c>
      <c r="M69" s="140">
        <f>K69*L69</f>
        <v>405000</v>
      </c>
      <c r="N69" s="140"/>
      <c r="O69" s="141"/>
      <c r="P69" s="141"/>
      <c r="Q69" s="168"/>
      <c r="R69" s="153"/>
      <c r="S69" s="142"/>
      <c r="T69" s="143"/>
      <c r="U69" s="144"/>
      <c r="V69" s="145"/>
      <c r="W69" s="144"/>
      <c r="X69" s="144"/>
      <c r="Y69" s="146"/>
      <c r="Z69" s="147"/>
      <c r="AA69" s="160"/>
      <c r="AB69" s="130"/>
      <c r="AC69" s="130">
        <f t="shared" si="2"/>
        <v>0</v>
      </c>
    </row>
    <row r="70" spans="2:29" x14ac:dyDescent="0.25">
      <c r="B70" s="57">
        <v>66</v>
      </c>
      <c r="C70" s="161" t="s">
        <v>161</v>
      </c>
      <c r="D70" s="135" t="s">
        <v>353</v>
      </c>
      <c r="E70" s="136" t="s">
        <v>172</v>
      </c>
      <c r="F70" s="137" t="s">
        <v>350</v>
      </c>
      <c r="G70" s="137" t="s">
        <v>15</v>
      </c>
      <c r="H70" s="159"/>
      <c r="I70" s="167" t="s">
        <v>129</v>
      </c>
      <c r="J70" s="137" t="s">
        <v>25</v>
      </c>
      <c r="K70" s="138">
        <v>422.55</v>
      </c>
      <c r="L70" s="139">
        <v>4861</v>
      </c>
      <c r="M70" s="140">
        <f>K70*L70</f>
        <v>2054015.55</v>
      </c>
      <c r="N70" s="140"/>
      <c r="O70" s="141"/>
      <c r="P70" s="141"/>
      <c r="Q70" s="168"/>
      <c r="R70" s="153"/>
      <c r="S70" s="142"/>
      <c r="T70" s="143"/>
      <c r="U70" s="144"/>
      <c r="V70" s="145"/>
      <c r="W70" s="144"/>
      <c r="X70" s="144"/>
      <c r="Y70" s="146"/>
      <c r="Z70" s="147"/>
      <c r="AA70" s="160"/>
      <c r="AB70" s="130"/>
      <c r="AC70" s="130">
        <f t="shared" ref="AC70:AC72" si="6">O70-AB70</f>
        <v>0</v>
      </c>
    </row>
    <row r="71" spans="2:29" x14ac:dyDescent="0.25">
      <c r="B71" s="57">
        <v>67</v>
      </c>
      <c r="C71" s="158"/>
      <c r="D71" s="135"/>
      <c r="E71" s="136"/>
      <c r="F71" s="137"/>
      <c r="G71" s="137"/>
      <c r="H71" s="159"/>
      <c r="I71" s="167"/>
      <c r="J71" s="137"/>
      <c r="K71" s="138"/>
      <c r="L71" s="139"/>
      <c r="M71" s="140"/>
      <c r="N71" s="140"/>
      <c r="O71" s="141"/>
      <c r="P71" s="141"/>
      <c r="Q71" s="168"/>
      <c r="R71" s="153"/>
      <c r="S71" s="142"/>
      <c r="T71" s="143"/>
      <c r="U71" s="144"/>
      <c r="V71" s="145"/>
      <c r="W71" s="144"/>
      <c r="X71" s="144"/>
      <c r="Y71" s="146"/>
      <c r="Z71" s="147"/>
      <c r="AA71" s="160"/>
      <c r="AB71" s="130"/>
      <c r="AC71" s="130">
        <f t="shared" si="6"/>
        <v>0</v>
      </c>
    </row>
    <row r="72" spans="2:29" ht="16.5" thickBot="1" x14ac:dyDescent="0.3">
      <c r="B72" s="58" t="s">
        <v>3</v>
      </c>
      <c r="C72" s="110"/>
      <c r="D72" s="116"/>
      <c r="E72" s="59"/>
      <c r="F72" s="60"/>
      <c r="G72" s="60"/>
      <c r="H72" s="60"/>
      <c r="I72" s="61"/>
      <c r="J72" s="60"/>
      <c r="K72" s="62"/>
      <c r="L72" s="105"/>
      <c r="M72" s="63"/>
      <c r="N72" s="63"/>
      <c r="O72" s="93"/>
      <c r="P72" s="93"/>
      <c r="Q72" s="93">
        <f t="shared" ref="Q72" si="7">O72+P72</f>
        <v>0</v>
      </c>
      <c r="R72" s="63"/>
      <c r="S72" s="117"/>
      <c r="T72" s="64"/>
      <c r="U72" s="106"/>
      <c r="V72" s="107"/>
      <c r="W72" s="106"/>
      <c r="X72" s="106"/>
      <c r="Y72" s="108"/>
      <c r="Z72" s="109"/>
      <c r="AA72" s="132"/>
      <c r="AB72" s="129">
        <v>0</v>
      </c>
      <c r="AC72" s="130">
        <f t="shared" si="6"/>
        <v>0</v>
      </c>
    </row>
  </sheetData>
  <autoFilter ref="A4:AC72"/>
  <sortState ref="D6:U57">
    <sortCondition descending="1" ref="M6:M57"/>
  </sortState>
  <conditionalFormatting sqref="C11">
    <cfRule type="containsText" dxfId="7" priority="8" operator="containsText" text="Completed">
      <formula>NOT(ISERROR(SEARCH("Completed",C11)))</formula>
    </cfRule>
  </conditionalFormatting>
  <conditionalFormatting sqref="C5:C373">
    <cfRule type="containsText" dxfId="6" priority="7" operator="containsText" text="On-going">
      <formula>NOT(ISERROR(SEARCH("On-going",C5)))</formula>
    </cfRule>
  </conditionalFormatting>
  <conditionalFormatting sqref="C5:C1048576">
    <cfRule type="containsText" dxfId="5" priority="3" operator="containsText" text="Not started">
      <formula>NOT(ISERROR(SEARCH("Not started",C5)))</formula>
    </cfRule>
    <cfRule type="containsText" dxfId="4" priority="4" operator="containsText" text="On hold">
      <formula>NOT(ISERROR(SEARCH("On hold",C5)))</formula>
    </cfRule>
    <cfRule type="containsText" dxfId="3" priority="5" operator="containsText" text="Closed">
      <formula>NOT(ISERROR(SEARCH("Closed",C5)))</formula>
    </cfRule>
    <cfRule type="containsText" dxfId="2" priority="6" operator="containsText" text="Completed">
      <formula>NOT(ISERROR(SEARCH("Completed",C5)))</formula>
    </cfRule>
  </conditionalFormatting>
  <conditionalFormatting sqref="C5:C295">
    <cfRule type="containsText" dxfId="1" priority="2" operator="containsText" text="On hold">
      <formula>NOT(ISERROR(SEARCH("On hold",C5)))</formula>
    </cfRule>
  </conditionalFormatting>
  <conditionalFormatting sqref="C5:C435">
    <cfRule type="containsText" dxfId="0" priority="1" operator="containsText" text="Repeat">
      <formula>NOT(ISERROR(SEARCH("Repeat",C5)))</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L14"/>
  <sheetViews>
    <sheetView tabSelected="1" zoomScaleNormal="100" workbookViewId="0">
      <selection activeCell="H7" sqref="H7"/>
    </sheetView>
  </sheetViews>
  <sheetFormatPr defaultRowHeight="15" x14ac:dyDescent="0.25"/>
  <cols>
    <col min="3" max="3" width="20.7109375" style="1" customWidth="1"/>
    <col min="4" max="4" width="14.7109375" customWidth="1"/>
    <col min="5" max="5" width="14.42578125" bestFit="1" customWidth="1"/>
    <col min="6" max="6" width="12.140625" bestFit="1" customWidth="1"/>
    <col min="8" max="8" width="15" style="2" customWidth="1"/>
    <col min="9" max="9" width="18.5703125" hidden="1" customWidth="1"/>
    <col min="10" max="10" width="21.140625" hidden="1" customWidth="1"/>
    <col min="11" max="11" width="12.140625" bestFit="1" customWidth="1"/>
    <col min="12" max="12" width="18.140625" bestFit="1" customWidth="1"/>
  </cols>
  <sheetData>
    <row r="1" spans="3:12" x14ac:dyDescent="0.25">
      <c r="C1" s="1" t="s">
        <v>81</v>
      </c>
      <c r="D1" s="1"/>
    </row>
    <row r="2" spans="3:12" x14ac:dyDescent="0.25">
      <c r="G2" s="173"/>
    </row>
    <row r="3" spans="3:12" x14ac:dyDescent="0.25">
      <c r="C3" s="193"/>
      <c r="D3" s="194"/>
      <c r="E3" s="195" t="s">
        <v>80</v>
      </c>
      <c r="F3" s="195"/>
      <c r="G3" s="196"/>
      <c r="H3" s="213" t="s">
        <v>76</v>
      </c>
      <c r="I3" s="197" t="s">
        <v>310</v>
      </c>
      <c r="J3" s="194"/>
      <c r="K3" s="197" t="s">
        <v>365</v>
      </c>
      <c r="L3" s="198" t="s">
        <v>367</v>
      </c>
    </row>
    <row r="4" spans="3:12" x14ac:dyDescent="0.25">
      <c r="C4" s="199"/>
      <c r="D4" s="200" t="s">
        <v>98</v>
      </c>
      <c r="E4" s="200" t="s">
        <v>78</v>
      </c>
      <c r="F4" s="200" t="s">
        <v>79</v>
      </c>
      <c r="G4" s="173"/>
      <c r="H4" s="214" t="s">
        <v>364</v>
      </c>
      <c r="I4" s="200" t="s">
        <v>300</v>
      </c>
      <c r="J4" s="200" t="s">
        <v>257</v>
      </c>
      <c r="K4" s="192" t="s">
        <v>366</v>
      </c>
      <c r="L4" s="173"/>
    </row>
    <row r="5" spans="3:12" x14ac:dyDescent="0.25">
      <c r="C5" s="199"/>
      <c r="D5" s="184"/>
      <c r="E5" s="184"/>
      <c r="F5" s="184"/>
      <c r="G5" s="173"/>
      <c r="H5" s="215"/>
      <c r="I5" s="184"/>
      <c r="J5" s="184"/>
      <c r="K5" s="184"/>
      <c r="L5" s="173"/>
    </row>
    <row r="6" spans="3:12" x14ac:dyDescent="0.25">
      <c r="C6" s="199" t="s">
        <v>42</v>
      </c>
      <c r="D6" s="184" t="s">
        <v>133</v>
      </c>
      <c r="E6" s="201">
        <f>SUMIF('CIP Tracker'!$E:$E,'Update '!C6,'CIP Tracker'!$M:$M)</f>
        <v>24301000</v>
      </c>
      <c r="F6" s="201">
        <f>SUMIF('CIP Tracker'!$E:$E,'Update '!C6,'CIP Tracker'!$N:$N)</f>
        <v>24301000</v>
      </c>
      <c r="G6" s="174">
        <f>F6/E6</f>
        <v>1</v>
      </c>
      <c r="H6" s="216">
        <f>SUMIF('CIP Tracker'!$E:$E,'Update '!C6,'CIP Tracker'!$O:$O)</f>
        <v>14131873</v>
      </c>
      <c r="I6" s="202">
        <f>SUMIF('CIP Tracker'!$E:$E,C6,'CIP Tracker'!$P:$P)</f>
        <v>0</v>
      </c>
      <c r="J6" s="203">
        <f>H6+I6</f>
        <v>14131873</v>
      </c>
      <c r="K6" s="202">
        <f>SUMIF('CIP Tracker'!$E:$E,'Update '!C6,'CIP Tracker'!$AB:$AB)</f>
        <v>16757861.454545449</v>
      </c>
      <c r="L6" s="204">
        <f>H6-K6</f>
        <v>-2625988.4545454495</v>
      </c>
    </row>
    <row r="7" spans="3:12" x14ac:dyDescent="0.25">
      <c r="C7" s="199" t="s">
        <v>77</v>
      </c>
      <c r="D7" s="184" t="s">
        <v>84</v>
      </c>
      <c r="E7" s="201">
        <f>SUMIF('CIP Tracker'!$E:$E,'Update '!C7,'CIP Tracker'!$M:$M)</f>
        <v>41030938.000000007</v>
      </c>
      <c r="F7" s="201">
        <f>SUMIF('CIP Tracker'!$E:$E,'Update '!C7,'CIP Tracker'!$N:$N)</f>
        <v>25746238.000000007</v>
      </c>
      <c r="G7" s="174">
        <f>F7/E7</f>
        <v>0.62748353449779781</v>
      </c>
      <c r="H7" s="217">
        <f>SUMIF('CIP Tracker'!$E:$E,'Update '!C7,'CIP Tracker'!$O:$O)</f>
        <v>51021302.21612411</v>
      </c>
      <c r="I7" s="205">
        <f>SUMIF('CIP Tracker'!$E:$E,C7,'CIP Tracker'!$P:$P)</f>
        <v>0</v>
      </c>
      <c r="J7" s="203">
        <f>H7+I7</f>
        <v>51021302.21612411</v>
      </c>
      <c r="K7" s="206">
        <f>SUMIF('CIP Tracker'!$E:$E,'Update '!C7,'CIP Tracker'!$AB:$AB)</f>
        <v>47333587.21612411</v>
      </c>
      <c r="L7" s="204">
        <f>H7-K7</f>
        <v>3687715</v>
      </c>
    </row>
    <row r="8" spans="3:12" x14ac:dyDescent="0.25">
      <c r="C8" s="199" t="s">
        <v>20</v>
      </c>
      <c r="D8" s="184" t="s">
        <v>280</v>
      </c>
      <c r="E8" s="201">
        <f>SUMIF('CIP Tracker'!$E:$E,'Update '!C8,'CIP Tracker'!$M:$M)</f>
        <v>21859916.379681561</v>
      </c>
      <c r="F8" s="201">
        <f>SUMIF('CIP Tracker'!$E:$E,'Update '!C8,'CIP Tracker'!$N:$N)</f>
        <v>9057203.7461444102</v>
      </c>
      <c r="G8" s="174">
        <f>F8/E8</f>
        <v>0.41432929517346806</v>
      </c>
      <c r="H8" s="216">
        <f>SUMIF('CIP Tracker'!$E:$E,'Update '!C8,'CIP Tracker'!$O:$O)</f>
        <v>5280707.8724788474</v>
      </c>
      <c r="I8" s="202">
        <f>SUMIF('CIP Tracker'!$E:$E,C8,'CIP Tracker'!$P:$P)</f>
        <v>0</v>
      </c>
      <c r="J8" s="203">
        <f>H8+I8</f>
        <v>5280707.8724788474</v>
      </c>
      <c r="K8" s="202">
        <f>SUMIF('CIP Tracker'!$E:$E,'Update '!C8,'CIP Tracker'!$AB:$AB)</f>
        <v>5417272.9650619822</v>
      </c>
      <c r="L8" s="204">
        <f>H8-K8</f>
        <v>-136565.09258313477</v>
      </c>
    </row>
    <row r="9" spans="3:12" x14ac:dyDescent="0.25">
      <c r="C9" s="199" t="s">
        <v>40</v>
      </c>
      <c r="D9" s="184" t="s">
        <v>134</v>
      </c>
      <c r="E9" s="201">
        <f>SUMIF('CIP Tracker'!$E:$E,'Update '!C9,'CIP Tracker'!$M:$M)</f>
        <v>18895543.860000003</v>
      </c>
      <c r="F9" s="201">
        <f>SUMIF('CIP Tracker'!$E:$E,'Update '!C9,'CIP Tracker'!$N:$N)</f>
        <v>3948167.166666667</v>
      </c>
      <c r="G9" s="174">
        <f>F9/E9</f>
        <v>0.20894699808162423</v>
      </c>
      <c r="H9" s="217">
        <f>SUMIF('CIP Tracker'!$E:$E,'Update '!C9,'CIP Tracker'!$O:$O)</f>
        <v>14064439</v>
      </c>
      <c r="I9" s="202">
        <f>SUMIF('CIP Tracker'!$E:$E,C9,'CIP Tracker'!$P:$P)</f>
        <v>0</v>
      </c>
      <c r="J9" s="203">
        <f>H9+I9</f>
        <v>14064439</v>
      </c>
      <c r="K9" s="206">
        <f>SUMIF('CIP Tracker'!$E:$E,'Update '!C9,'CIP Tracker'!$AB:$AB)</f>
        <v>14428754.121212123</v>
      </c>
      <c r="L9" s="204">
        <f>H9-K9</f>
        <v>-364315.12121212296</v>
      </c>
    </row>
    <row r="10" spans="3:12" ht="30" x14ac:dyDescent="0.25">
      <c r="C10" s="199" t="s">
        <v>279</v>
      </c>
      <c r="D10" s="207" t="s">
        <v>304</v>
      </c>
      <c r="E10" s="201">
        <f>SUMIF('CIP Tracker'!$E:$E,'Update '!C10,'CIP Tracker'!$M:$M)</f>
        <v>1490000.0000000009</v>
      </c>
      <c r="F10" s="201">
        <f>SUMIF('CIP Tracker'!$E:$E,'Update '!C10,'CIP Tracker'!$N:$N)</f>
        <v>806666.66666666721</v>
      </c>
      <c r="G10" s="174">
        <f>F10/E10</f>
        <v>0.54138702460850119</v>
      </c>
      <c r="H10" s="216">
        <f>SUMIF('CIP Tracker'!$E:$E,'Update '!C10,'CIP Tracker'!$O:$O)</f>
        <v>297342</v>
      </c>
      <c r="I10" s="202">
        <f>SUMIF('CIP Tracker'!$E:$E,C10,'CIP Tracker'!$P:$P)</f>
        <v>0</v>
      </c>
      <c r="J10" s="203">
        <f>H10+I10</f>
        <v>297342</v>
      </c>
      <c r="K10" s="202">
        <f>SUMIF('CIP Tracker'!$E:$E,'Update '!C10,'CIP Tracker'!$AB:$AB)</f>
        <v>229448.90909090909</v>
      </c>
      <c r="L10" s="204">
        <f>H10-K10</f>
        <v>67893.090909090912</v>
      </c>
    </row>
    <row r="11" spans="3:12" x14ac:dyDescent="0.25">
      <c r="C11" s="199"/>
      <c r="D11" s="184"/>
      <c r="E11" s="201"/>
      <c r="F11" s="201"/>
      <c r="G11" s="173"/>
      <c r="H11" s="216"/>
      <c r="I11" s="184"/>
      <c r="J11" s="184"/>
      <c r="K11" s="184"/>
      <c r="L11" s="173"/>
    </row>
    <row r="12" spans="3:12" x14ac:dyDescent="0.25">
      <c r="C12" s="199" t="s">
        <v>3</v>
      </c>
      <c r="D12" s="200"/>
      <c r="E12" s="208">
        <f>SUM(E5:E11)</f>
        <v>107577398.23968157</v>
      </c>
      <c r="F12" s="208">
        <f>SUM(F5:F11)</f>
        <v>63859275.579477742</v>
      </c>
      <c r="G12" s="175"/>
      <c r="H12" s="218">
        <f>SUM(H5:H11)</f>
        <v>84795664.08860296</v>
      </c>
      <c r="I12" s="206">
        <f>SUM(I5:I11)</f>
        <v>0</v>
      </c>
      <c r="J12" s="209">
        <f>H12+I12</f>
        <v>84795664.08860296</v>
      </c>
      <c r="K12" s="206">
        <f>SUM(K5:K11)</f>
        <v>84166924.666034564</v>
      </c>
      <c r="L12" s="204">
        <f>H12-K12</f>
        <v>628739.42256839573</v>
      </c>
    </row>
    <row r="13" spans="3:12" x14ac:dyDescent="0.25">
      <c r="C13" s="199"/>
      <c r="D13" s="184"/>
      <c r="E13" s="184"/>
      <c r="F13" s="184"/>
      <c r="G13" s="173"/>
      <c r="H13" s="216"/>
      <c r="I13" s="184"/>
      <c r="J13" s="184"/>
      <c r="K13" s="184"/>
      <c r="L13" s="173"/>
    </row>
    <row r="14" spans="3:12" x14ac:dyDescent="0.25">
      <c r="C14" s="210"/>
      <c r="D14" s="211"/>
      <c r="E14" s="211"/>
      <c r="F14" s="211"/>
      <c r="G14" s="212"/>
      <c r="H14" s="219"/>
      <c r="I14" s="211"/>
      <c r="J14" s="211"/>
      <c r="K14" s="211"/>
      <c r="L14" s="212"/>
    </row>
  </sheetData>
  <mergeCells count="1">
    <mergeCell ref="E3:F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12"/>
  <sheetViews>
    <sheetView topLeftCell="Y1" zoomScale="90" zoomScaleNormal="90" workbookViewId="0">
      <selection activeCell="Z1" sqref="Z1"/>
    </sheetView>
  </sheetViews>
  <sheetFormatPr defaultRowHeight="15" x14ac:dyDescent="0.25"/>
  <cols>
    <col min="1" max="1" width="9.140625" style="1"/>
    <col min="2" max="2" width="62.42578125" customWidth="1"/>
    <col min="3" max="3" width="15.140625" customWidth="1"/>
    <col min="4" max="4" width="14" customWidth="1"/>
    <col min="5" max="5" width="0.7109375" style="68" customWidth="1"/>
    <col min="6" max="6" width="58.7109375" customWidth="1"/>
    <col min="7" max="7" width="0.7109375" style="68" customWidth="1"/>
    <col min="8" max="8" width="58.7109375" customWidth="1"/>
    <col min="9" max="9" width="15.140625" customWidth="1"/>
    <col min="10" max="10" width="14" customWidth="1"/>
    <col min="11" max="11" width="0.7109375" style="68" customWidth="1"/>
    <col min="12" max="12" width="73.42578125" customWidth="1"/>
    <col min="13" max="13" width="13.7109375" bestFit="1" customWidth="1"/>
    <col min="14" max="14" width="14.5703125" bestFit="1" customWidth="1"/>
    <col min="15" max="15" width="0.7109375" style="68" customWidth="1"/>
    <col min="16" max="16" width="73.42578125" customWidth="1"/>
    <col min="17" max="17" width="13.7109375" bestFit="1" customWidth="1"/>
    <col min="18" max="18" width="14.5703125" bestFit="1" customWidth="1"/>
    <col min="19" max="19" width="0.7109375" style="68" customWidth="1"/>
    <col min="20" max="20" width="73.42578125" customWidth="1"/>
    <col min="21" max="21" width="13.7109375" bestFit="1" customWidth="1"/>
    <col min="22" max="22" width="14.5703125" bestFit="1" customWidth="1"/>
    <col min="23" max="23" width="0.7109375" style="68" customWidth="1"/>
    <col min="24" max="24" width="57.5703125" customWidth="1"/>
    <col min="25" max="25" width="0.7109375" style="68" customWidth="1"/>
    <col min="26" max="26" width="73.42578125" customWidth="1"/>
    <col min="27" max="27" width="13.7109375" bestFit="1" customWidth="1"/>
    <col min="28" max="28" width="14.5703125" bestFit="1" customWidth="1"/>
    <col min="29" max="29" width="0.7109375" style="68" customWidth="1"/>
  </cols>
  <sheetData>
    <row r="1" spans="1:29" ht="75" x14ac:dyDescent="0.25">
      <c r="B1" s="55" t="s">
        <v>121</v>
      </c>
      <c r="F1" s="55" t="s">
        <v>287</v>
      </c>
      <c r="H1" s="55" t="s">
        <v>164</v>
      </c>
      <c r="L1" s="55" t="s">
        <v>271</v>
      </c>
      <c r="P1" s="55" t="s">
        <v>288</v>
      </c>
      <c r="T1" s="55" t="s">
        <v>319</v>
      </c>
      <c r="Z1" s="55" t="s">
        <v>354</v>
      </c>
    </row>
    <row r="2" spans="1:29" x14ac:dyDescent="0.25">
      <c r="B2" s="55"/>
    </row>
    <row r="3" spans="1:29" x14ac:dyDescent="0.25">
      <c r="A3" s="45" t="s">
        <v>120</v>
      </c>
      <c r="B3" s="54" t="s">
        <v>119</v>
      </c>
      <c r="C3" s="45" t="s">
        <v>118</v>
      </c>
      <c r="D3" s="45" t="s">
        <v>117</v>
      </c>
      <c r="E3" s="69"/>
      <c r="F3" s="66" t="s">
        <v>119</v>
      </c>
      <c r="G3" s="69"/>
      <c r="H3" s="66" t="s">
        <v>119</v>
      </c>
      <c r="I3" s="45" t="s">
        <v>118</v>
      </c>
      <c r="J3" s="45" t="s">
        <v>117</v>
      </c>
      <c r="K3" s="69"/>
      <c r="L3" s="66" t="s">
        <v>119</v>
      </c>
      <c r="M3" s="45" t="s">
        <v>118</v>
      </c>
      <c r="N3" s="45" t="s">
        <v>117</v>
      </c>
      <c r="O3" s="69"/>
      <c r="P3" s="66" t="s">
        <v>119</v>
      </c>
      <c r="Q3" s="45" t="s">
        <v>118</v>
      </c>
      <c r="R3" s="45" t="s">
        <v>117</v>
      </c>
      <c r="S3" s="69"/>
      <c r="T3" s="66" t="s">
        <v>119</v>
      </c>
      <c r="U3" s="45" t="s">
        <v>118</v>
      </c>
      <c r="V3" s="45" t="s">
        <v>117</v>
      </c>
      <c r="W3" s="69"/>
      <c r="X3" s="176" t="s">
        <v>330</v>
      </c>
      <c r="Y3" s="69"/>
      <c r="Z3" s="66" t="s">
        <v>119</v>
      </c>
      <c r="AA3" s="45" t="s">
        <v>118</v>
      </c>
      <c r="AB3" s="45" t="s">
        <v>117</v>
      </c>
      <c r="AC3" s="69"/>
    </row>
    <row r="4" spans="1:29" ht="180" x14ac:dyDescent="0.25">
      <c r="A4" s="49">
        <v>1</v>
      </c>
      <c r="B4" s="120" t="s">
        <v>122</v>
      </c>
      <c r="C4" s="43" t="s">
        <v>116</v>
      </c>
      <c r="D4" s="53">
        <v>42622</v>
      </c>
      <c r="E4" s="70"/>
      <c r="F4" s="48" t="s">
        <v>123</v>
      </c>
      <c r="G4" s="70"/>
      <c r="H4" s="44" t="s">
        <v>162</v>
      </c>
      <c r="I4" s="43" t="s">
        <v>163</v>
      </c>
      <c r="J4" s="53">
        <v>42681</v>
      </c>
      <c r="K4" s="70"/>
      <c r="L4" s="118" t="s">
        <v>272</v>
      </c>
      <c r="M4" s="119" t="s">
        <v>99</v>
      </c>
      <c r="N4" s="119" t="s">
        <v>99</v>
      </c>
      <c r="O4" s="70"/>
      <c r="P4" s="118" t="s">
        <v>290</v>
      </c>
      <c r="Q4" s="118" t="s">
        <v>289</v>
      </c>
      <c r="R4" s="124">
        <v>42762</v>
      </c>
      <c r="S4" s="70"/>
      <c r="T4" s="118" t="s">
        <v>311</v>
      </c>
      <c r="U4" s="118" t="s">
        <v>314</v>
      </c>
      <c r="V4" s="124">
        <v>42765</v>
      </c>
      <c r="W4" s="70"/>
      <c r="Y4" s="70"/>
      <c r="Z4" s="118" t="s">
        <v>358</v>
      </c>
      <c r="AA4" s="118"/>
      <c r="AB4" s="124"/>
      <c r="AC4" s="70"/>
    </row>
    <row r="5" spans="1:29" ht="150" x14ac:dyDescent="0.25">
      <c r="A5" s="49">
        <v>2</v>
      </c>
      <c r="B5" s="121" t="s">
        <v>115</v>
      </c>
      <c r="C5" s="43" t="s">
        <v>114</v>
      </c>
      <c r="D5" s="53">
        <v>42622</v>
      </c>
      <c r="E5" s="70"/>
      <c r="F5" s="67" t="s">
        <v>124</v>
      </c>
      <c r="G5" s="70"/>
      <c r="H5" s="43" t="s">
        <v>266</v>
      </c>
      <c r="I5" s="43" t="s">
        <v>165</v>
      </c>
      <c r="J5" s="53">
        <v>42681</v>
      </c>
      <c r="K5" s="70"/>
      <c r="L5" s="44" t="s">
        <v>277</v>
      </c>
      <c r="M5" s="118" t="s">
        <v>276</v>
      </c>
      <c r="N5" s="124">
        <v>42713</v>
      </c>
      <c r="O5" s="70"/>
      <c r="P5" s="44" t="s">
        <v>291</v>
      </c>
      <c r="Q5" s="118" t="s">
        <v>133</v>
      </c>
      <c r="R5" s="124">
        <v>42762</v>
      </c>
      <c r="S5" s="70"/>
      <c r="T5" s="44" t="s">
        <v>312</v>
      </c>
      <c r="U5" s="118" t="s">
        <v>313</v>
      </c>
      <c r="V5" s="124">
        <v>42769</v>
      </c>
      <c r="W5" s="70"/>
      <c r="X5" s="171" t="s">
        <v>324</v>
      </c>
      <c r="Y5" s="70"/>
      <c r="Z5" s="44" t="s">
        <v>355</v>
      </c>
      <c r="AA5" s="118" t="s">
        <v>193</v>
      </c>
      <c r="AB5" s="124"/>
      <c r="AC5" s="70"/>
    </row>
    <row r="6" spans="1:29" ht="75" x14ac:dyDescent="0.25">
      <c r="A6" s="45">
        <v>3</v>
      </c>
      <c r="B6" s="122" t="s">
        <v>113</v>
      </c>
      <c r="C6" s="43" t="s">
        <v>109</v>
      </c>
      <c r="D6" s="53">
        <v>42622</v>
      </c>
      <c r="E6" s="70"/>
      <c r="F6" s="48" t="s">
        <v>125</v>
      </c>
      <c r="G6" s="70"/>
      <c r="H6" s="48" t="s">
        <v>267</v>
      </c>
      <c r="I6" s="43"/>
      <c r="J6" s="53"/>
      <c r="K6" s="70"/>
      <c r="L6" s="44" t="s">
        <v>273</v>
      </c>
      <c r="M6" s="118" t="s">
        <v>274</v>
      </c>
      <c r="N6" s="119"/>
      <c r="O6" s="70"/>
      <c r="P6" s="44" t="s">
        <v>308</v>
      </c>
      <c r="Q6" s="118" t="s">
        <v>298</v>
      </c>
      <c r="R6" s="124">
        <v>42750</v>
      </c>
      <c r="S6" s="70"/>
      <c r="T6" s="44" t="s">
        <v>316</v>
      </c>
      <c r="U6" s="118" t="s">
        <v>103</v>
      </c>
      <c r="V6" s="124">
        <v>42769</v>
      </c>
      <c r="W6" s="70"/>
      <c r="X6" s="170" t="s">
        <v>323</v>
      </c>
      <c r="Y6" s="70"/>
      <c r="Z6" s="44" t="s">
        <v>356</v>
      </c>
      <c r="AA6" s="118" t="s">
        <v>133</v>
      </c>
      <c r="AB6" s="124"/>
      <c r="AC6" s="70"/>
    </row>
    <row r="7" spans="1:29" ht="195" x14ac:dyDescent="0.25">
      <c r="A7" s="45">
        <v>4</v>
      </c>
      <c r="B7" s="123" t="s">
        <v>112</v>
      </c>
      <c r="C7" s="43" t="s">
        <v>111</v>
      </c>
      <c r="D7" s="52" t="s">
        <v>110</v>
      </c>
      <c r="E7" s="71"/>
      <c r="F7" s="42" t="s">
        <v>126</v>
      </c>
      <c r="G7" s="71"/>
      <c r="H7" s="42"/>
      <c r="I7" s="43"/>
      <c r="J7" s="52"/>
      <c r="K7" s="71"/>
      <c r="L7" s="44" t="s">
        <v>278</v>
      </c>
      <c r="M7" s="119" t="s">
        <v>99</v>
      </c>
      <c r="N7" s="119" t="s">
        <v>99</v>
      </c>
      <c r="O7" s="71"/>
      <c r="P7" s="44" t="s">
        <v>292</v>
      </c>
      <c r="Q7" s="118" t="s">
        <v>298</v>
      </c>
      <c r="R7" s="124">
        <v>42760</v>
      </c>
      <c r="S7" s="71"/>
      <c r="T7" s="44" t="s">
        <v>315</v>
      </c>
      <c r="U7" s="118" t="s">
        <v>133</v>
      </c>
      <c r="V7" s="124">
        <v>42769</v>
      </c>
      <c r="W7" s="71"/>
      <c r="Y7" s="71"/>
      <c r="Z7" s="44" t="s">
        <v>357</v>
      </c>
      <c r="AA7" s="118" t="s">
        <v>296</v>
      </c>
      <c r="AB7" s="124"/>
      <c r="AC7" s="71"/>
    </row>
    <row r="8" spans="1:29" ht="60" x14ac:dyDescent="0.25">
      <c r="A8" s="45">
        <v>5</v>
      </c>
      <c r="B8" s="123" t="s">
        <v>127</v>
      </c>
      <c r="C8" s="43" t="s">
        <v>109</v>
      </c>
      <c r="D8" s="51">
        <v>42622</v>
      </c>
      <c r="E8" s="72"/>
      <c r="F8" s="48" t="s">
        <v>128</v>
      </c>
      <c r="G8" s="72"/>
      <c r="H8" s="48"/>
      <c r="I8" s="43"/>
      <c r="J8" s="51"/>
      <c r="K8" s="72"/>
      <c r="M8" s="119"/>
      <c r="N8" s="119"/>
      <c r="O8" s="72"/>
      <c r="P8" s="149" t="s">
        <v>293</v>
      </c>
      <c r="Q8" s="150" t="s">
        <v>297</v>
      </c>
      <c r="R8" s="151">
        <v>42760</v>
      </c>
      <c r="S8" s="72"/>
      <c r="T8" s="149" t="s">
        <v>317</v>
      </c>
      <c r="U8" s="166" t="s">
        <v>318</v>
      </c>
      <c r="V8" s="151">
        <v>42765</v>
      </c>
      <c r="W8" s="72"/>
      <c r="X8" s="170" t="s">
        <v>322</v>
      </c>
      <c r="Y8" s="72"/>
      <c r="Z8" s="44" t="s">
        <v>359</v>
      </c>
      <c r="AA8" s="166" t="s">
        <v>296</v>
      </c>
      <c r="AB8" s="151"/>
      <c r="AC8" s="72"/>
    </row>
    <row r="9" spans="1:29" ht="75" x14ac:dyDescent="0.25">
      <c r="A9" s="45">
        <v>6</v>
      </c>
      <c r="B9" s="121" t="s">
        <v>108</v>
      </c>
      <c r="C9" s="43" t="s">
        <v>107</v>
      </c>
      <c r="D9" s="50" t="s">
        <v>106</v>
      </c>
      <c r="E9" s="73"/>
      <c r="F9" s="42"/>
      <c r="G9" s="73"/>
      <c r="H9" s="42"/>
      <c r="I9" s="43"/>
      <c r="J9" s="50"/>
      <c r="K9" s="73"/>
      <c r="L9" s="48"/>
      <c r="M9" s="119"/>
      <c r="N9" s="119"/>
      <c r="O9" s="73"/>
      <c r="P9" s="44" t="s">
        <v>295</v>
      </c>
      <c r="Q9" s="42" t="s">
        <v>296</v>
      </c>
      <c r="R9" s="152">
        <v>42750</v>
      </c>
      <c r="S9" s="73"/>
      <c r="T9" s="44" t="s">
        <v>320</v>
      </c>
      <c r="U9" s="166" t="s">
        <v>297</v>
      </c>
      <c r="V9" s="151">
        <v>42765</v>
      </c>
      <c r="W9" s="73"/>
      <c r="X9" s="171" t="s">
        <v>325</v>
      </c>
      <c r="Y9" s="73"/>
      <c r="Z9" s="44" t="s">
        <v>360</v>
      </c>
      <c r="AA9" s="166"/>
      <c r="AB9" s="151"/>
      <c r="AC9" s="73"/>
    </row>
    <row r="10" spans="1:29" ht="60" x14ac:dyDescent="0.25">
      <c r="A10" s="49">
        <v>7</v>
      </c>
      <c r="B10" s="123" t="s">
        <v>105</v>
      </c>
      <c r="C10" s="43" t="s">
        <v>103</v>
      </c>
      <c r="D10" s="47" t="s">
        <v>102</v>
      </c>
      <c r="E10" s="74"/>
      <c r="F10" s="42"/>
      <c r="G10" s="74"/>
      <c r="H10" s="42"/>
      <c r="I10" s="43"/>
      <c r="J10" s="47"/>
      <c r="K10" s="74"/>
      <c r="L10" s="48"/>
      <c r="M10" s="119"/>
      <c r="N10" s="119"/>
      <c r="O10" s="74"/>
      <c r="P10" s="44" t="s">
        <v>305</v>
      </c>
      <c r="Q10" s="118" t="s">
        <v>294</v>
      </c>
      <c r="R10" s="124">
        <v>42760</v>
      </c>
      <c r="S10" s="74"/>
      <c r="T10" s="44"/>
      <c r="U10" s="118"/>
      <c r="V10" s="124"/>
      <c r="W10" s="74"/>
      <c r="Y10" s="74"/>
      <c r="Z10" s="44"/>
      <c r="AA10" s="118"/>
      <c r="AB10" s="124"/>
      <c r="AC10" s="74"/>
    </row>
    <row r="11" spans="1:29" ht="30" x14ac:dyDescent="0.25">
      <c r="A11" s="45">
        <v>8</v>
      </c>
      <c r="B11" s="120" t="s">
        <v>104</v>
      </c>
      <c r="C11" s="43" t="s">
        <v>103</v>
      </c>
      <c r="D11" s="46" t="s">
        <v>102</v>
      </c>
      <c r="E11" s="75"/>
      <c r="F11" s="42"/>
      <c r="G11" s="75"/>
      <c r="H11" s="42"/>
      <c r="I11" s="43"/>
      <c r="J11" s="46"/>
      <c r="K11" s="75"/>
      <c r="L11" s="48"/>
      <c r="M11" s="119"/>
      <c r="N11" s="119"/>
      <c r="O11" s="75"/>
      <c r="P11" s="48"/>
      <c r="Q11" s="119"/>
      <c r="R11" s="119"/>
      <c r="S11" s="75"/>
      <c r="T11" s="48"/>
      <c r="U11" s="119"/>
      <c r="V11" s="119"/>
      <c r="W11" s="75"/>
      <c r="Y11" s="75"/>
      <c r="Z11" s="48"/>
      <c r="AA11" s="119"/>
      <c r="AB11" s="119"/>
      <c r="AC11" s="75"/>
    </row>
    <row r="12" spans="1:29" ht="60" x14ac:dyDescent="0.25">
      <c r="A12" s="45">
        <v>9</v>
      </c>
      <c r="B12" s="44" t="s">
        <v>101</v>
      </c>
      <c r="C12" s="43" t="s">
        <v>100</v>
      </c>
      <c r="D12" s="42"/>
      <c r="E12" s="76"/>
      <c r="F12" s="42"/>
      <c r="G12" s="76"/>
      <c r="H12" s="42"/>
      <c r="I12" s="43"/>
      <c r="J12" s="42"/>
      <c r="K12" s="76"/>
      <c r="L12" s="48"/>
      <c r="M12" s="119"/>
      <c r="N12" s="119"/>
      <c r="O12" s="76"/>
      <c r="P12" s="48"/>
      <c r="Q12" s="119"/>
      <c r="R12" s="119"/>
      <c r="S12" s="76"/>
      <c r="T12" s="48"/>
      <c r="U12" s="119"/>
      <c r="V12" s="119"/>
      <c r="W12" s="76"/>
      <c r="Y12" s="76"/>
      <c r="Z12" s="48"/>
      <c r="AA12" s="119"/>
      <c r="AB12" s="119"/>
      <c r="AC12" s="7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9"/>
  <sheetViews>
    <sheetView workbookViewId="0"/>
  </sheetViews>
  <sheetFormatPr defaultRowHeight="15" x14ac:dyDescent="0.25"/>
  <cols>
    <col min="1" max="1" width="7.28515625" customWidth="1"/>
    <col min="2" max="2" width="44.140625" bestFit="1" customWidth="1"/>
    <col min="3" max="3" width="35" customWidth="1"/>
  </cols>
  <sheetData>
    <row r="1" spans="1:3" x14ac:dyDescent="0.25">
      <c r="A1" t="s">
        <v>331</v>
      </c>
    </row>
    <row r="2" spans="1:3" ht="15.75" thickBot="1" x14ac:dyDescent="0.3"/>
    <row r="3" spans="1:3" ht="15.75" thickBot="1" x14ac:dyDescent="0.3">
      <c r="A3" s="177" t="s">
        <v>120</v>
      </c>
      <c r="B3" s="178" t="s">
        <v>333</v>
      </c>
      <c r="C3" s="179" t="s">
        <v>335</v>
      </c>
    </row>
    <row r="4" spans="1:3" ht="75" x14ac:dyDescent="0.25">
      <c r="A4" s="180">
        <v>1</v>
      </c>
      <c r="B4" s="181" t="s">
        <v>332</v>
      </c>
      <c r="C4" s="182" t="s">
        <v>336</v>
      </c>
    </row>
    <row r="5" spans="1:3" ht="30" x14ac:dyDescent="0.25">
      <c r="A5" s="183">
        <v>2</v>
      </c>
      <c r="B5" s="184" t="s">
        <v>334</v>
      </c>
      <c r="C5" s="185" t="s">
        <v>337</v>
      </c>
    </row>
    <row r="6" spans="1:3" ht="30" x14ac:dyDescent="0.25">
      <c r="A6" s="183">
        <v>3</v>
      </c>
      <c r="B6" s="184" t="s">
        <v>338</v>
      </c>
      <c r="C6" s="186" t="s">
        <v>339</v>
      </c>
    </row>
    <row r="7" spans="1:3" x14ac:dyDescent="0.25">
      <c r="A7" s="183">
        <v>4</v>
      </c>
      <c r="B7" s="184" t="s">
        <v>340</v>
      </c>
      <c r="C7" s="187" t="s">
        <v>341</v>
      </c>
    </row>
    <row r="8" spans="1:3" x14ac:dyDescent="0.25">
      <c r="A8" s="183">
        <v>5</v>
      </c>
      <c r="B8" s="184" t="s">
        <v>342</v>
      </c>
      <c r="C8" s="187" t="s">
        <v>343</v>
      </c>
    </row>
    <row r="9" spans="1:3" ht="15.75" thickBot="1" x14ac:dyDescent="0.3">
      <c r="A9" s="188">
        <v>6</v>
      </c>
      <c r="B9" s="189" t="s">
        <v>344</v>
      </c>
      <c r="C9" s="190" t="s">
        <v>343</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14D7AB9A4533B4BA69EA15B9A4EEFE9" ma:contentTypeVersion="2" ma:contentTypeDescription="Create a new document." ma:contentTypeScope="" ma:versionID="cd78725e8ae5335c3c9f118c02376e01">
  <xsd:schema xmlns:xsd="http://www.w3.org/2001/XMLSchema" xmlns:xs="http://www.w3.org/2001/XMLSchema" xmlns:p="http://schemas.microsoft.com/office/2006/metadata/properties" xmlns:ns2="863e7a7e-902c-429b-9ced-ec8faf9df407" targetNamespace="http://schemas.microsoft.com/office/2006/metadata/properties" ma:root="true" ma:fieldsID="223f3a2c9b595b80d2544a8fb4d9d905" ns2:_="">
    <xsd:import namespace="863e7a7e-902c-429b-9ced-ec8faf9df407"/>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3e7a7e-902c-429b-9ced-ec8faf9df40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1B90BC9-711F-44DF-9D8C-80A526B584D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3e7a7e-902c-429b-9ced-ec8faf9df4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70B5A04-4594-4BBC-BAFE-E7498DB7C91D}">
  <ds:schemaRefs>
    <ds:schemaRef ds:uri="http://schemas.microsoft.com/sharepoint/v3/contenttype/forms"/>
  </ds:schemaRefs>
</ds:datastoreItem>
</file>

<file path=customXml/itemProps3.xml><?xml version="1.0" encoding="utf-8"?>
<ds:datastoreItem xmlns:ds="http://schemas.openxmlformats.org/officeDocument/2006/customXml" ds:itemID="{DA88F81B-640D-47CB-AFA8-E3B752650A73}">
  <ds:schemaRefs>
    <ds:schemaRef ds:uri="http://purl.org/dc/terms/"/>
    <ds:schemaRef ds:uri="http://www.w3.org/XML/1998/namespace"/>
    <ds:schemaRef ds:uri="http://schemas.microsoft.com/office/2006/metadata/properties"/>
    <ds:schemaRef ds:uri="http://purl.org/dc/elements/1.1/"/>
    <ds:schemaRef ds:uri="http://schemas.microsoft.com/office/2006/documentManagement/types"/>
    <ds:schemaRef ds:uri="http://schemas.microsoft.com/office/infopath/2007/PartnerControls"/>
    <ds:schemaRef ds:uri="http://purl.org/dc/dcmitype/"/>
    <ds:schemaRef ds:uri="http://schemas.openxmlformats.org/package/2006/metadata/core-properties"/>
    <ds:schemaRef ds:uri="863e7a7e-902c-429b-9ced-ec8faf9df40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CIP Tracker</vt:lpstr>
      <vt:lpstr>Update </vt:lpstr>
      <vt:lpstr>MoMs</vt:lpstr>
      <vt:lpstr>Meeting - 31 Mar '17</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Subrata Debnath</dc:creator>
  <cp:lastModifiedBy>S Kannan</cp:lastModifiedBy>
  <dcterms:created xsi:type="dcterms:W3CDTF">2016-05-13T13:01:16Z</dcterms:created>
  <dcterms:modified xsi:type="dcterms:W3CDTF">2017-05-08T05:26:54Z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0x010100D14D7AB9A4533B4BA69EA15B9A4EEFE9</vt:lpwstr>
  </property>
</Properties>
</file>